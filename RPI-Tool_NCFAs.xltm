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09" codeName="{8C4F1C90-05EB-6A55-5F09-09C24B55AC0B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ron/Dropbox (Personal)/"/>
    </mc:Choice>
  </mc:AlternateContent>
  <bookViews>
    <workbookView xWindow="5280" yWindow="2620" windowWidth="14500" windowHeight="16880"/>
  </bookViews>
  <sheets>
    <sheet name="RPI Output" sheetId="2" r:id="rId1"/>
    <sheet name="Raw Data" sheetId="1" r:id="rId2"/>
    <sheet name="Prep" sheetId="8" r:id="rId3"/>
    <sheet name="WP" sheetId="3" state="hidden" r:id="rId4"/>
    <sheet name="OWP" sheetId="4" r:id="rId5"/>
    <sheet name="OOWP" sheetId="7" r:id="rId6"/>
  </sheets>
  <calcPr calcId="150001" concurrentCalc="0"/>
  <pivotCaches>
    <pivotCache cacheId="25" r:id="rId7"/>
    <pivotCache cacheId="28" r:id="rId8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3" l="1" a="1"/>
  <c r="G2" i="3"/>
  <c r="G3" i="3" a="1"/>
  <c r="G3" i="3"/>
  <c r="G4" i="3" a="1"/>
  <c r="G4" i="3"/>
  <c r="M2" i="4" a="1"/>
  <c r="M2" i="4"/>
  <c r="N2" i="4"/>
  <c r="M3" i="4" a="1"/>
  <c r="M3" i="4"/>
  <c r="N3" i="4"/>
  <c r="M4" i="4" a="1"/>
  <c r="M4" i="4"/>
  <c r="N4" i="4"/>
  <c r="G5" i="3" a="1"/>
  <c r="G5" i="3"/>
  <c r="M5" i="4" a="1"/>
  <c r="M5" i="4"/>
  <c r="N5" i="4"/>
  <c r="G6" i="3" a="1"/>
  <c r="G6" i="3"/>
  <c r="M6" i="4" a="1"/>
  <c r="M6" i="4"/>
  <c r="N6" i="4"/>
  <c r="G7" i="3" a="1"/>
  <c r="G7" i="3"/>
  <c r="M7" i="4" a="1"/>
  <c r="M7" i="4"/>
  <c r="N7" i="4"/>
  <c r="G8" i="3" a="1"/>
  <c r="G8" i="3"/>
  <c r="M8" i="4" a="1"/>
  <c r="G9" i="3" a="1"/>
  <c r="G9" i="3"/>
  <c r="M9" i="4" a="1"/>
  <c r="G10" i="3" a="1"/>
  <c r="G10" i="3"/>
  <c r="M10" i="4" a="1"/>
  <c r="G11" i="3" a="1"/>
  <c r="G11" i="3"/>
  <c r="M11" i="4" a="1"/>
  <c r="G12" i="3" a="1"/>
  <c r="G12" i="3"/>
  <c r="M12" i="4" a="1"/>
  <c r="G13" i="3" a="1"/>
  <c r="G13" i="3"/>
  <c r="M13" i="4" a="1"/>
  <c r="G14" i="3" a="1"/>
  <c r="G14" i="3"/>
  <c r="M14" i="4" a="1"/>
  <c r="G15" i="3" a="1"/>
  <c r="G15" i="3"/>
  <c r="M15" i="4" a="1"/>
  <c r="G16" i="3" a="1"/>
  <c r="G16" i="3"/>
  <c r="M16" i="4" a="1"/>
  <c r="G17" i="3" a="1"/>
  <c r="G17" i="3"/>
  <c r="M17" i="4" a="1"/>
  <c r="G18" i="3" a="1"/>
  <c r="G18" i="3"/>
  <c r="M18" i="4" a="1"/>
  <c r="G19" i="3" a="1"/>
  <c r="G19" i="3"/>
  <c r="M19" i="4" a="1"/>
  <c r="G20" i="3" a="1"/>
  <c r="G20" i="3"/>
  <c r="M20" i="4" a="1"/>
  <c r="G21" i="3" a="1"/>
  <c r="G21" i="3"/>
  <c r="M21" i="4" a="1"/>
  <c r="G22" i="3" a="1"/>
  <c r="G22" i="3"/>
  <c r="M22" i="4" a="1"/>
  <c r="G23" i="3" a="1"/>
  <c r="G23" i="3"/>
  <c r="M23" i="4" a="1"/>
  <c r="G24" i="3" a="1"/>
  <c r="G24" i="3"/>
  <c r="M24" i="4" a="1"/>
  <c r="G25" i="3" a="1"/>
  <c r="G25" i="3"/>
  <c r="M25" i="4" a="1"/>
  <c r="G26" i="3" a="1"/>
  <c r="G26" i="3"/>
  <c r="M26" i="4" a="1"/>
  <c r="G27" i="3" a="1"/>
  <c r="G27" i="3"/>
  <c r="M27" i="4" a="1"/>
  <c r="G28" i="3" a="1"/>
  <c r="G28" i="3"/>
  <c r="M28" i="4" a="1"/>
  <c r="G29" i="3" a="1"/>
  <c r="G29" i="3"/>
  <c r="M29" i="4" a="1"/>
  <c r="G30" i="3" a="1"/>
  <c r="G30" i="3"/>
  <c r="M30" i="4" a="1"/>
  <c r="G31" i="3" a="1"/>
  <c r="G31" i="3"/>
  <c r="M31" i="4" a="1"/>
  <c r="G32" i="3" a="1"/>
  <c r="G32" i="3"/>
  <c r="M32" i="4" a="1"/>
  <c r="G33" i="3" a="1"/>
  <c r="G33" i="3"/>
  <c r="M33" i="4" a="1"/>
  <c r="G34" i="3" a="1"/>
  <c r="G34" i="3"/>
  <c r="M34" i="4" a="1"/>
  <c r="G35" i="3" a="1"/>
  <c r="G35" i="3"/>
  <c r="M35" i="4" a="1"/>
  <c r="G36" i="3" a="1"/>
  <c r="G36" i="3"/>
  <c r="M36" i="4" a="1"/>
  <c r="G37" i="3" a="1"/>
  <c r="G37" i="3"/>
  <c r="M37" i="4" a="1"/>
  <c r="G38" i="3" a="1"/>
  <c r="G38" i="3"/>
  <c r="M38" i="4" a="1"/>
  <c r="G39" i="3" a="1"/>
  <c r="G39" i="3"/>
  <c r="M39" i="4" a="1"/>
  <c r="G40" i="3" a="1"/>
  <c r="G40" i="3"/>
  <c r="M40" i="4" a="1"/>
  <c r="G41" i="3" a="1"/>
  <c r="G41" i="3"/>
  <c r="M41" i="4" a="1"/>
  <c r="G42" i="3" a="1"/>
  <c r="G42" i="3"/>
  <c r="M42" i="4" a="1"/>
  <c r="G43" i="3" a="1"/>
  <c r="G43" i="3"/>
  <c r="M43" i="4" a="1"/>
  <c r="G44" i="3" a="1"/>
  <c r="G44" i="3"/>
  <c r="M44" i="4" a="1"/>
  <c r="G45" i="3" a="1"/>
  <c r="G45" i="3"/>
  <c r="M45" i="4" a="1"/>
  <c r="G46" i="3" a="1"/>
  <c r="G46" i="3"/>
  <c r="M46" i="4" a="1"/>
  <c r="G47" i="3" a="1"/>
  <c r="G47" i="3"/>
  <c r="M47" i="4" a="1"/>
  <c r="G48" i="3" a="1"/>
  <c r="G48" i="3"/>
  <c r="M48" i="4" a="1"/>
  <c r="G49" i="3" a="1"/>
  <c r="G49" i="3"/>
  <c r="M49" i="4" a="1"/>
  <c r="G50" i="3" a="1"/>
  <c r="G50" i="3"/>
  <c r="M50" i="4" a="1"/>
  <c r="G51" i="3" a="1"/>
  <c r="G51" i="3"/>
  <c r="M51" i="4" a="1"/>
  <c r="G52" i="3" a="1"/>
  <c r="G52" i="3"/>
  <c r="M52" i="4" a="1"/>
  <c r="G53" i="3" a="1"/>
  <c r="G53" i="3"/>
  <c r="M53" i="4" a="1"/>
  <c r="G54" i="3" a="1"/>
  <c r="G54" i="3"/>
  <c r="M54" i="4" a="1"/>
  <c r="G55" i="3" a="1"/>
  <c r="G55" i="3"/>
  <c r="M55" i="4" a="1"/>
  <c r="G56" i="3" a="1"/>
  <c r="G56" i="3"/>
  <c r="M56" i="4" a="1"/>
  <c r="G57" i="3" a="1"/>
  <c r="G57" i="3"/>
  <c r="M57" i="4" a="1"/>
  <c r="G58" i="3" a="1"/>
  <c r="G58" i="3"/>
  <c r="M58" i="4" a="1"/>
  <c r="G59" i="3" a="1"/>
  <c r="G59" i="3"/>
  <c r="M59" i="4" a="1"/>
  <c r="G60" i="3" a="1"/>
  <c r="G60" i="3"/>
  <c r="M60" i="4" a="1"/>
  <c r="G61" i="3" a="1"/>
  <c r="G61" i="3"/>
  <c r="M61" i="4" a="1"/>
  <c r="G62" i="3" a="1"/>
  <c r="G62" i="3"/>
  <c r="M62" i="4" a="1"/>
  <c r="G63" i="3" a="1"/>
  <c r="G63" i="3"/>
  <c r="M63" i="4" a="1"/>
  <c r="G64" i="3" a="1"/>
  <c r="G64" i="3"/>
  <c r="M64" i="4" a="1"/>
  <c r="G65" i="3" a="1"/>
  <c r="G65" i="3"/>
  <c r="M65" i="4" a="1"/>
  <c r="G66" i="3" a="1"/>
  <c r="G66" i="3"/>
  <c r="M66" i="4" a="1"/>
  <c r="G67" i="3" a="1"/>
  <c r="G67" i="3"/>
  <c r="M67" i="4" a="1"/>
  <c r="G68" i="3" a="1"/>
  <c r="G68" i="3"/>
  <c r="M68" i="4" a="1"/>
  <c r="G69" i="3" a="1"/>
  <c r="G69" i="3"/>
  <c r="M69" i="4" a="1"/>
  <c r="G70" i="3" a="1"/>
  <c r="G70" i="3"/>
  <c r="M70" i="4" a="1"/>
  <c r="G71" i="3" a="1"/>
  <c r="G71" i="3"/>
  <c r="M71" i="4" a="1"/>
  <c r="G72" i="3" a="1"/>
  <c r="G72" i="3"/>
  <c r="M72" i="4" a="1"/>
  <c r="G73" i="3" a="1"/>
  <c r="G73" i="3"/>
  <c r="M73" i="4" a="1"/>
  <c r="G74" i="3" a="1"/>
  <c r="G74" i="3"/>
  <c r="M74" i="4" a="1"/>
  <c r="G75" i="3" a="1"/>
  <c r="G75" i="3"/>
  <c r="M75" i="4" a="1"/>
  <c r="G76" i="3" a="1"/>
  <c r="G76" i="3"/>
  <c r="M76" i="4" a="1"/>
  <c r="G77" i="3" a="1"/>
  <c r="G77" i="3"/>
  <c r="M77" i="4" a="1"/>
  <c r="G78" i="3" a="1"/>
  <c r="G78" i="3"/>
  <c r="M78" i="4" a="1"/>
  <c r="G79" i="3" a="1"/>
  <c r="G79" i="3"/>
  <c r="M79" i="4" a="1"/>
  <c r="G80" i="3" a="1"/>
  <c r="G80" i="3"/>
  <c r="M80" i="4" a="1"/>
  <c r="G81" i="3" a="1"/>
  <c r="G81" i="3"/>
  <c r="M81" i="4" a="1"/>
  <c r="G82" i="3" a="1"/>
  <c r="G82" i="3"/>
  <c r="M82" i="4" a="1"/>
  <c r="G83" i="3" a="1"/>
  <c r="G83" i="3"/>
  <c r="M83" i="4" a="1"/>
  <c r="G84" i="3" a="1"/>
  <c r="G84" i="3"/>
  <c r="M84" i="4" a="1"/>
  <c r="G85" i="3" a="1"/>
  <c r="G85" i="3"/>
  <c r="M85" i="4" a="1"/>
  <c r="G86" i="3" a="1"/>
  <c r="G86" i="3"/>
  <c r="M86" i="4" a="1"/>
  <c r="G87" i="3" a="1"/>
  <c r="G87" i="3"/>
  <c r="M87" i="4" a="1"/>
  <c r="G88" i="3" a="1"/>
  <c r="G88" i="3"/>
  <c r="M88" i="4" a="1"/>
  <c r="G89" i="3" a="1"/>
  <c r="G89" i="3"/>
  <c r="M89" i="4" a="1"/>
  <c r="G90" i="3" a="1"/>
  <c r="G90" i="3"/>
  <c r="M90" i="4" a="1"/>
  <c r="G91" i="3" a="1"/>
  <c r="G91" i="3"/>
  <c r="M91" i="4" a="1"/>
  <c r="G92" i="3" a="1"/>
  <c r="G92" i="3"/>
  <c r="M92" i="4" a="1"/>
  <c r="G93" i="3" a="1"/>
  <c r="G93" i="3"/>
  <c r="M93" i="4" a="1"/>
  <c r="G94" i="3" a="1"/>
  <c r="G94" i="3"/>
  <c r="M94" i="4" a="1"/>
  <c r="G95" i="3" a="1"/>
  <c r="G95" i="3"/>
  <c r="M95" i="4" a="1"/>
  <c r="G96" i="3" a="1"/>
  <c r="G96" i="3"/>
  <c r="M96" i="4" a="1"/>
  <c r="G97" i="3" a="1"/>
  <c r="G97" i="3"/>
  <c r="M97" i="4" a="1"/>
  <c r="G98" i="3" a="1"/>
  <c r="G98" i="3"/>
  <c r="M98" i="4" a="1"/>
  <c r="G99" i="3" a="1"/>
  <c r="G99" i="3"/>
  <c r="M99" i="4" a="1"/>
  <c r="G100" i="3" a="1"/>
  <c r="G100" i="3"/>
  <c r="M100" i="4" a="1"/>
  <c r="G101" i="3" a="1"/>
  <c r="G101" i="3"/>
  <c r="M101" i="4" a="1"/>
  <c r="G102" i="3" a="1"/>
  <c r="G102" i="3"/>
  <c r="M102" i="4" a="1"/>
  <c r="G103" i="3" a="1"/>
  <c r="G103" i="3"/>
  <c r="M103" i="4" a="1"/>
  <c r="G104" i="3" a="1"/>
  <c r="G104" i="3"/>
  <c r="M104" i="4" a="1"/>
  <c r="G105" i="3" a="1"/>
  <c r="G105" i="3"/>
  <c r="M105" i="4" a="1"/>
  <c r="G106" i="3" a="1"/>
  <c r="G106" i="3"/>
  <c r="M106" i="4" a="1"/>
  <c r="G107" i="3" a="1"/>
  <c r="G107" i="3"/>
  <c r="M107" i="4" a="1"/>
  <c r="G108" i="3" a="1"/>
  <c r="G108" i="3"/>
  <c r="M108" i="4" a="1"/>
  <c r="G109" i="3" a="1"/>
  <c r="G109" i="3"/>
  <c r="M109" i="4" a="1"/>
  <c r="G110" i="3" a="1"/>
  <c r="G110" i="3"/>
  <c r="M110" i="4" a="1"/>
  <c r="G111" i="3" a="1"/>
  <c r="G111" i="3"/>
  <c r="M111" i="4" a="1"/>
  <c r="G112" i="3" a="1"/>
  <c r="G112" i="3"/>
  <c r="M112" i="4" a="1"/>
  <c r="G113" i="3" a="1"/>
  <c r="G113" i="3"/>
  <c r="M113" i="4" a="1"/>
  <c r="G114" i="3" a="1"/>
  <c r="G114" i="3"/>
  <c r="M114" i="4" a="1"/>
  <c r="G115" i="3" a="1"/>
  <c r="G115" i="3"/>
  <c r="M115" i="4" a="1"/>
  <c r="G116" i="3" a="1"/>
  <c r="G116" i="3"/>
  <c r="M116" i="4" a="1"/>
  <c r="G117" i="3" a="1"/>
  <c r="G117" i="3"/>
  <c r="M117" i="4" a="1"/>
  <c r="G118" i="3" a="1"/>
  <c r="G118" i="3"/>
  <c r="M118" i="4" a="1"/>
  <c r="G119" i="3" a="1"/>
  <c r="G119" i="3"/>
  <c r="M119" i="4" a="1"/>
  <c r="G120" i="3" a="1"/>
  <c r="G120" i="3"/>
  <c r="M120" i="4" a="1"/>
  <c r="G121" i="3" a="1"/>
  <c r="G121" i="3"/>
  <c r="M121" i="4" a="1"/>
  <c r="G122" i="3" a="1"/>
  <c r="G122" i="3"/>
  <c r="M122" i="4" a="1"/>
  <c r="G123" i="3" a="1"/>
  <c r="G123" i="3"/>
  <c r="M123" i="4" a="1"/>
  <c r="G124" i="3" a="1"/>
  <c r="G124" i="3"/>
  <c r="M124" i="4" a="1"/>
  <c r="G125" i="3" a="1"/>
  <c r="G125" i="3"/>
  <c r="M125" i="4" a="1"/>
  <c r="G126" i="3" a="1"/>
  <c r="G126" i="3"/>
  <c r="M126" i="4" a="1"/>
  <c r="G127" i="3" a="1"/>
  <c r="G127" i="3"/>
  <c r="M127" i="4" a="1"/>
  <c r="G128" i="3" a="1"/>
  <c r="G128" i="3"/>
  <c r="M128" i="4" a="1"/>
  <c r="G129" i="3" a="1"/>
  <c r="G129" i="3"/>
  <c r="M129" i="4" a="1"/>
  <c r="G130" i="3" a="1"/>
  <c r="G130" i="3"/>
  <c r="M130" i="4" a="1"/>
  <c r="G131" i="3" a="1"/>
  <c r="G131" i="3"/>
  <c r="M131" i="4" a="1"/>
  <c r="G132" i="3" a="1"/>
  <c r="G132" i="3"/>
  <c r="M132" i="4" a="1"/>
  <c r="G133" i="3" a="1"/>
  <c r="G133" i="3"/>
  <c r="M133" i="4" a="1"/>
  <c r="G134" i="3" a="1"/>
  <c r="G134" i="3"/>
  <c r="M134" i="4" a="1"/>
  <c r="G135" i="3" a="1"/>
  <c r="G135" i="3"/>
  <c r="M135" i="4" a="1"/>
  <c r="G136" i="3" a="1"/>
  <c r="G136" i="3"/>
  <c r="M136" i="4" a="1"/>
  <c r="G137" i="3" a="1"/>
  <c r="G137" i="3"/>
  <c r="M137" i="4" a="1"/>
  <c r="G138" i="3" a="1"/>
  <c r="G138" i="3"/>
  <c r="M138" i="4" a="1"/>
  <c r="G139" i="3" a="1"/>
  <c r="G139" i="3"/>
  <c r="M139" i="4" a="1"/>
  <c r="G140" i="3" a="1"/>
  <c r="G140" i="3"/>
  <c r="M140" i="4" a="1"/>
  <c r="G141" i="3" a="1"/>
  <c r="G141" i="3"/>
  <c r="M141" i="4" a="1"/>
  <c r="G142" i="3" a="1"/>
  <c r="G142" i="3"/>
  <c r="M142" i="4" a="1"/>
  <c r="G143" i="3" a="1"/>
  <c r="G143" i="3"/>
  <c r="M143" i="4" a="1"/>
  <c r="G144" i="3" a="1"/>
  <c r="G144" i="3"/>
  <c r="M144" i="4" a="1"/>
  <c r="G145" i="3" a="1"/>
  <c r="G145" i="3"/>
  <c r="M145" i="4" a="1"/>
  <c r="G146" i="3" a="1"/>
  <c r="G146" i="3"/>
  <c r="M146" i="4" a="1"/>
  <c r="G147" i="3" a="1"/>
  <c r="G147" i="3"/>
  <c r="M147" i="4" a="1"/>
  <c r="G148" i="3" a="1"/>
  <c r="G148" i="3"/>
  <c r="M148" i="4" a="1"/>
  <c r="G149" i="3" a="1"/>
  <c r="G149" i="3"/>
  <c r="M149" i="4" a="1"/>
  <c r="G150" i="3" a="1"/>
  <c r="G150" i="3"/>
  <c r="M150" i="4" a="1"/>
  <c r="G151" i="3" a="1"/>
  <c r="G151" i="3"/>
  <c r="M151" i="4" a="1"/>
  <c r="G152" i="3" a="1"/>
  <c r="G152" i="3"/>
  <c r="M152" i="4" a="1"/>
  <c r="G153" i="3" a="1"/>
  <c r="G153" i="3"/>
  <c r="M153" i="4" a="1"/>
  <c r="G154" i="3" a="1"/>
  <c r="G154" i="3"/>
  <c r="M154" i="4" a="1"/>
  <c r="G155" i="3" a="1"/>
  <c r="G155" i="3"/>
  <c r="M155" i="4" a="1"/>
  <c r="G156" i="3" a="1"/>
  <c r="G156" i="3"/>
  <c r="M156" i="4" a="1"/>
  <c r="G157" i="3" a="1"/>
  <c r="G157" i="3"/>
  <c r="M157" i="4" a="1"/>
  <c r="G158" i="3" a="1"/>
  <c r="G158" i="3"/>
  <c r="M158" i="4" a="1"/>
  <c r="G159" i="3" a="1"/>
  <c r="G159" i="3"/>
  <c r="M159" i="4" a="1"/>
  <c r="G160" i="3" a="1"/>
  <c r="G160" i="3"/>
  <c r="M160" i="4" a="1"/>
  <c r="G161" i="3" a="1"/>
  <c r="G161" i="3"/>
  <c r="M161" i="4" a="1"/>
  <c r="G162" i="3" a="1"/>
  <c r="G162" i="3"/>
  <c r="M162" i="4" a="1"/>
  <c r="G163" i="3" a="1"/>
  <c r="G163" i="3"/>
  <c r="M163" i="4" a="1"/>
  <c r="G164" i="3" a="1"/>
  <c r="G164" i="3"/>
  <c r="M164" i="4" a="1"/>
  <c r="G165" i="3" a="1"/>
  <c r="G165" i="3"/>
  <c r="M165" i="4" a="1"/>
  <c r="G166" i="3" a="1"/>
  <c r="G166" i="3"/>
  <c r="M166" i="4" a="1"/>
  <c r="G167" i="3" a="1"/>
  <c r="G167" i="3"/>
  <c r="M167" i="4" a="1"/>
  <c r="G168" i="3" a="1"/>
  <c r="G168" i="3"/>
  <c r="M168" i="4" a="1"/>
  <c r="G169" i="3" a="1"/>
  <c r="G169" i="3"/>
  <c r="M169" i="4" a="1"/>
  <c r="G170" i="3" a="1"/>
  <c r="G170" i="3"/>
  <c r="M170" i="4" a="1"/>
  <c r="G171" i="3" a="1"/>
  <c r="G171" i="3"/>
  <c r="M171" i="4" a="1"/>
  <c r="G172" i="3" a="1"/>
  <c r="G172" i="3"/>
  <c r="M172" i="4" a="1"/>
  <c r="G173" i="3" a="1"/>
  <c r="G173" i="3"/>
  <c r="M173" i="4" a="1"/>
  <c r="G174" i="3" a="1"/>
  <c r="G174" i="3"/>
  <c r="M174" i="4" a="1"/>
  <c r="G175" i="3" a="1"/>
  <c r="G175" i="3"/>
  <c r="M175" i="4" a="1"/>
  <c r="G176" i="3" a="1"/>
  <c r="G176" i="3"/>
  <c r="M176" i="4" a="1"/>
  <c r="G177" i="3" a="1"/>
  <c r="G177" i="3"/>
  <c r="M177" i="4" a="1"/>
  <c r="G178" i="3" a="1"/>
  <c r="G178" i="3"/>
  <c r="M178" i="4" a="1"/>
  <c r="G179" i="3" a="1"/>
  <c r="G179" i="3"/>
  <c r="M179" i="4" a="1"/>
  <c r="G180" i="3" a="1"/>
  <c r="G180" i="3"/>
  <c r="M180" i="4" a="1"/>
  <c r="G181" i="3" a="1"/>
  <c r="G181" i="3"/>
  <c r="M181" i="4" a="1"/>
  <c r="G182" i="3" a="1"/>
  <c r="G182" i="3"/>
  <c r="M182" i="4" a="1"/>
  <c r="G183" i="3" a="1"/>
  <c r="G183" i="3"/>
  <c r="M183" i="4" a="1"/>
  <c r="G184" i="3" a="1"/>
  <c r="G184" i="3"/>
  <c r="M184" i="4" a="1"/>
  <c r="G185" i="3" a="1"/>
  <c r="G185" i="3"/>
  <c r="M185" i="4" a="1"/>
  <c r="G186" i="3" a="1"/>
  <c r="G186" i="3"/>
  <c r="M186" i="4" a="1"/>
  <c r="G187" i="3" a="1"/>
  <c r="G187" i="3"/>
  <c r="M187" i="4" a="1"/>
  <c r="G188" i="3" a="1"/>
  <c r="G188" i="3"/>
  <c r="M188" i="4" a="1"/>
  <c r="G189" i="3" a="1"/>
  <c r="G189" i="3"/>
  <c r="M189" i="4" a="1"/>
  <c r="G190" i="3" a="1"/>
  <c r="G190" i="3"/>
  <c r="M190" i="4" a="1"/>
  <c r="G191" i="3" a="1"/>
  <c r="G191" i="3"/>
  <c r="M191" i="4" a="1"/>
  <c r="G192" i="3" a="1"/>
  <c r="G192" i="3"/>
  <c r="M192" i="4" a="1"/>
  <c r="G193" i="3" a="1"/>
  <c r="G193" i="3"/>
  <c r="M193" i="4" a="1"/>
  <c r="G194" i="3" a="1"/>
  <c r="G194" i="3"/>
  <c r="M194" i="4" a="1"/>
  <c r="G195" i="3" a="1"/>
  <c r="G195" i="3"/>
  <c r="M195" i="4" a="1"/>
  <c r="G196" i="3" a="1"/>
  <c r="G196" i="3"/>
  <c r="M196" i="4" a="1"/>
  <c r="G197" i="3" a="1"/>
  <c r="G197" i="3"/>
  <c r="M197" i="4" a="1"/>
  <c r="G198" i="3" a="1"/>
  <c r="G198" i="3"/>
  <c r="M198" i="4" a="1"/>
  <c r="G199" i="3" a="1"/>
  <c r="G199" i="3"/>
  <c r="M199" i="4" a="1"/>
  <c r="G200" i="3" a="1"/>
  <c r="G200" i="3"/>
  <c r="M200" i="4" a="1"/>
  <c r="G201" i="3" a="1"/>
  <c r="G201" i="3"/>
  <c r="M201" i="4" a="1"/>
  <c r="G202" i="3" a="1"/>
  <c r="G202" i="3"/>
  <c r="M202" i="4" a="1"/>
  <c r="A236" i="8"/>
  <c r="E236" i="8"/>
  <c r="A237" i="8"/>
  <c r="E237" i="8"/>
  <c r="A238" i="8"/>
  <c r="E238" i="8"/>
  <c r="A239" i="8"/>
  <c r="E239" i="8"/>
  <c r="A240" i="8"/>
  <c r="E240" i="8"/>
  <c r="A241" i="8"/>
  <c r="E241" i="8"/>
  <c r="A242" i="8"/>
  <c r="E242" i="8"/>
  <c r="A243" i="8"/>
  <c r="E243" i="8"/>
  <c r="A244" i="8"/>
  <c r="E244" i="8"/>
  <c r="A245" i="8"/>
  <c r="E245" i="8"/>
  <c r="A246" i="8"/>
  <c r="E246" i="8"/>
  <c r="A247" i="8"/>
  <c r="E247" i="8"/>
  <c r="A248" i="8"/>
  <c r="E248" i="8"/>
  <c r="A249" i="8"/>
  <c r="E249" i="8"/>
  <c r="A250" i="8"/>
  <c r="E250" i="8"/>
  <c r="A251" i="8"/>
  <c r="E251" i="8"/>
  <c r="A252" i="8"/>
  <c r="E252" i="8"/>
  <c r="A253" i="8"/>
  <c r="E253" i="8"/>
  <c r="A254" i="8"/>
  <c r="E254" i="8"/>
  <c r="A255" i="8"/>
  <c r="E255" i="8"/>
  <c r="A256" i="8"/>
  <c r="E256" i="8"/>
  <c r="A257" i="8"/>
  <c r="E257" i="8"/>
  <c r="A258" i="8"/>
  <c r="E258" i="8"/>
  <c r="A259" i="8"/>
  <c r="E259" i="8"/>
  <c r="A260" i="8"/>
  <c r="E260" i="8"/>
  <c r="A261" i="8"/>
  <c r="E261" i="8"/>
  <c r="A262" i="8"/>
  <c r="E262" i="8"/>
  <c r="A263" i="8"/>
  <c r="E263" i="8"/>
  <c r="A264" i="8"/>
  <c r="E264" i="8"/>
  <c r="A265" i="8"/>
  <c r="E265" i="8"/>
  <c r="A266" i="8"/>
  <c r="E266" i="8"/>
  <c r="A267" i="8"/>
  <c r="E267" i="8"/>
  <c r="A268" i="8"/>
  <c r="E268" i="8"/>
  <c r="A269" i="8"/>
  <c r="E269" i="8"/>
  <c r="A270" i="8"/>
  <c r="E270" i="8"/>
  <c r="A271" i="8"/>
  <c r="E271" i="8"/>
  <c r="A272" i="8"/>
  <c r="E272" i="8"/>
  <c r="A273" i="8"/>
  <c r="E273" i="8"/>
  <c r="A274" i="8"/>
  <c r="E274" i="8"/>
  <c r="A275" i="8"/>
  <c r="E275" i="8"/>
  <c r="A276" i="8"/>
  <c r="E276" i="8"/>
  <c r="A277" i="8"/>
  <c r="E277" i="8"/>
  <c r="A278" i="8"/>
  <c r="E278" i="8"/>
  <c r="A279" i="8"/>
  <c r="E279" i="8"/>
  <c r="A280" i="8"/>
  <c r="E280" i="8"/>
  <c r="A281" i="8"/>
  <c r="E281" i="8"/>
  <c r="A282" i="8"/>
  <c r="E282" i="8"/>
  <c r="A283" i="8"/>
  <c r="E283" i="8"/>
  <c r="A284" i="8"/>
  <c r="E284" i="8"/>
  <c r="A285" i="8"/>
  <c r="E285" i="8"/>
  <c r="A286" i="8"/>
  <c r="E286" i="8"/>
  <c r="A287" i="8"/>
  <c r="E287" i="8"/>
  <c r="A288" i="8"/>
  <c r="E288" i="8"/>
  <c r="A289" i="8"/>
  <c r="E289" i="8"/>
  <c r="A290" i="8"/>
  <c r="E290" i="8"/>
  <c r="A291" i="8"/>
  <c r="E291" i="8"/>
  <c r="A292" i="8"/>
  <c r="E292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A2" i="8"/>
  <c r="F291" i="8"/>
  <c r="F287" i="8"/>
  <c r="F283" i="8"/>
  <c r="F279" i="8"/>
  <c r="F275" i="8"/>
  <c r="F271" i="8"/>
  <c r="F267" i="8"/>
  <c r="F263" i="8"/>
  <c r="F259" i="8"/>
  <c r="F255" i="8"/>
  <c r="F251" i="8"/>
  <c r="F247" i="8"/>
  <c r="F243" i="8"/>
  <c r="F239" i="8"/>
  <c r="F290" i="8"/>
  <c r="F282" i="8"/>
  <c r="F274" i="8"/>
  <c r="F270" i="8"/>
  <c r="F266" i="8"/>
  <c r="F262" i="8"/>
  <c r="F258" i="8"/>
  <c r="F254" i="8"/>
  <c r="F250" i="8"/>
  <c r="F246" i="8"/>
  <c r="F242" i="8"/>
  <c r="F238" i="8"/>
  <c r="F286" i="8"/>
  <c r="F278" i="8"/>
  <c r="F292" i="8"/>
  <c r="F288" i="8"/>
  <c r="F284" i="8"/>
  <c r="F280" i="8"/>
  <c r="F276" i="8"/>
  <c r="F272" i="8"/>
  <c r="F268" i="8"/>
  <c r="F264" i="8"/>
  <c r="F260" i="8"/>
  <c r="F256" i="8"/>
  <c r="F252" i="8"/>
  <c r="F248" i="8"/>
  <c r="F244" i="8"/>
  <c r="F240" i="8"/>
  <c r="F236" i="8"/>
  <c r="F289" i="8"/>
  <c r="F285" i="8"/>
  <c r="F281" i="8"/>
  <c r="F277" i="8"/>
  <c r="F273" i="8"/>
  <c r="F269" i="8"/>
  <c r="F265" i="8"/>
  <c r="F261" i="8"/>
  <c r="F257" i="8"/>
  <c r="F253" i="8"/>
  <c r="F249" i="8"/>
  <c r="F245" i="8"/>
  <c r="F241" i="8"/>
  <c r="F237" i="8"/>
  <c r="J2" i="7"/>
  <c r="H2" i="3"/>
  <c r="I2" i="3"/>
  <c r="E2" i="8"/>
  <c r="C2" i="8"/>
  <c r="J2" i="3"/>
  <c r="B2" i="8"/>
  <c r="K2" i="7"/>
  <c r="D2" i="8"/>
  <c r="F2" i="8"/>
  <c r="H3" i="3"/>
  <c r="I3" i="3"/>
  <c r="J3" i="3"/>
  <c r="H4" i="3"/>
  <c r="I4" i="3"/>
  <c r="J4" i="3"/>
  <c r="H5" i="3"/>
  <c r="I5" i="3"/>
  <c r="J5" i="3"/>
  <c r="H6" i="3"/>
  <c r="I6" i="3"/>
  <c r="J6" i="3"/>
  <c r="H7" i="3"/>
  <c r="I7" i="3"/>
  <c r="J7" i="3"/>
  <c r="E24" i="1"/>
  <c r="F54" i="1"/>
  <c r="E6" i="1"/>
  <c r="E63" i="1"/>
  <c r="E53" i="1"/>
  <c r="F21" i="1"/>
  <c r="F68" i="1"/>
  <c r="F18" i="1"/>
  <c r="E72" i="1"/>
  <c r="E11" i="1"/>
  <c r="E2" i="1"/>
  <c r="E40" i="1"/>
  <c r="E3" i="1"/>
  <c r="E44" i="1"/>
  <c r="E29" i="1"/>
  <c r="E71" i="1"/>
  <c r="E73" i="1"/>
  <c r="E16" i="1"/>
  <c r="F46" i="1"/>
  <c r="F60" i="1"/>
  <c r="E61" i="1"/>
  <c r="F76" i="1"/>
  <c r="F29" i="1"/>
  <c r="F23" i="1"/>
  <c r="E66" i="1"/>
  <c r="E60" i="1"/>
  <c r="F14" i="1"/>
  <c r="F57" i="1"/>
  <c r="F50" i="1"/>
  <c r="E56" i="1"/>
  <c r="E4" i="1"/>
  <c r="E28" i="1"/>
  <c r="F66" i="1"/>
  <c r="E42" i="1"/>
  <c r="F37" i="1"/>
  <c r="F31" i="1"/>
  <c r="E80" i="1"/>
  <c r="E37" i="1"/>
  <c r="F49" i="1"/>
  <c r="F45" i="1"/>
  <c r="E15" i="1"/>
  <c r="F28" i="1"/>
  <c r="E5" i="1"/>
  <c r="F40" i="1"/>
  <c r="A235" i="8"/>
  <c r="B235" i="8"/>
  <c r="C235" i="8"/>
  <c r="J3" i="7"/>
  <c r="J4" i="7"/>
  <c r="J5" i="7"/>
  <c r="J6" i="7"/>
  <c r="K3" i="7"/>
  <c r="K4" i="7"/>
  <c r="K5" i="7"/>
  <c r="K6" i="7"/>
  <c r="J7" i="7"/>
  <c r="K7" i="7"/>
  <c r="K21" i="7"/>
  <c r="D235" i="8"/>
  <c r="F235" i="8"/>
  <c r="E235" i="8"/>
  <c r="A234" i="8"/>
  <c r="B234" i="8"/>
  <c r="C234" i="8"/>
  <c r="D234" i="8"/>
  <c r="F234" i="8"/>
  <c r="E234" i="8"/>
  <c r="G4" i="1"/>
  <c r="G5" i="1"/>
  <c r="G29" i="1"/>
  <c r="G61" i="1"/>
  <c r="H50" i="1"/>
  <c r="H28" i="1"/>
  <c r="H57" i="1"/>
  <c r="G2" i="1"/>
  <c r="G56" i="1"/>
  <c r="H37" i="1"/>
  <c r="G28" i="1"/>
  <c r="G16" i="1"/>
  <c r="H14" i="1"/>
  <c r="H23" i="1"/>
  <c r="G37" i="1"/>
  <c r="G44" i="1"/>
  <c r="G80" i="1"/>
  <c r="H29" i="1"/>
  <c r="G3" i="1"/>
  <c r="G73" i="1"/>
  <c r="G24" i="1"/>
  <c r="H76" i="1"/>
  <c r="G71" i="1"/>
  <c r="H31" i="1"/>
  <c r="H68" i="1"/>
  <c r="G60" i="1"/>
  <c r="G6" i="1"/>
  <c r="H21" i="1"/>
  <c r="G53" i="1"/>
  <c r="H18" i="1"/>
  <c r="H66" i="1"/>
  <c r="G66" i="1"/>
  <c r="H60" i="1"/>
  <c r="G72" i="1"/>
  <c r="G40" i="1"/>
  <c r="H40" i="1"/>
  <c r="G42" i="1"/>
  <c r="H46" i="1"/>
  <c r="H54" i="1"/>
  <c r="H49" i="1"/>
  <c r="G15" i="1"/>
  <c r="G11" i="1"/>
  <c r="G63" i="1"/>
  <c r="H45" i="1"/>
  <c r="A7" i="8"/>
  <c r="B7" i="8"/>
  <c r="C7" i="8"/>
  <c r="D7" i="8"/>
  <c r="F7" i="8"/>
  <c r="E76" i="1"/>
  <c r="E7" i="8"/>
  <c r="G76" i="1"/>
  <c r="A6" i="8"/>
  <c r="B6" i="8"/>
  <c r="C6" i="8"/>
  <c r="D6" i="8"/>
  <c r="F6" i="8"/>
  <c r="A5" i="8"/>
  <c r="B5" i="8"/>
  <c r="C5" i="8"/>
  <c r="D5" i="8"/>
  <c r="F5" i="8"/>
  <c r="E6" i="8"/>
  <c r="A4" i="8"/>
  <c r="B4" i="8"/>
  <c r="C4" i="8"/>
  <c r="D4" i="8"/>
  <c r="F4" i="8"/>
  <c r="E5" i="8"/>
  <c r="A3" i="8"/>
  <c r="B3" i="8"/>
  <c r="C3" i="8"/>
  <c r="D3" i="8"/>
  <c r="F3" i="8"/>
  <c r="E4" i="8"/>
  <c r="E3" i="8"/>
  <c r="M8" i="4"/>
  <c r="M9" i="4"/>
  <c r="M10" i="4"/>
  <c r="M11" i="4"/>
  <c r="N8" i="4"/>
  <c r="N9" i="4"/>
  <c r="N10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M23" i="4"/>
  <c r="N23" i="4"/>
  <c r="M24" i="4"/>
  <c r="N24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44" i="4"/>
  <c r="N44" i="4"/>
  <c r="M45" i="4"/>
  <c r="N45" i="4"/>
  <c r="M46" i="4"/>
  <c r="N46" i="4"/>
  <c r="M47" i="4"/>
  <c r="N47" i="4"/>
  <c r="M48" i="4"/>
  <c r="N48" i="4"/>
  <c r="M49" i="4"/>
  <c r="N49" i="4"/>
  <c r="M50" i="4"/>
  <c r="N50" i="4"/>
  <c r="M51" i="4"/>
  <c r="N51" i="4"/>
  <c r="M52" i="4"/>
  <c r="N52" i="4"/>
  <c r="M53" i="4"/>
  <c r="N53" i="4"/>
  <c r="M54" i="4"/>
  <c r="N54" i="4"/>
  <c r="M55" i="4"/>
  <c r="N55" i="4"/>
  <c r="M56" i="4"/>
  <c r="N56" i="4"/>
  <c r="M57" i="4"/>
  <c r="N57" i="4"/>
  <c r="M58" i="4"/>
  <c r="N58" i="4"/>
  <c r="M59" i="4"/>
  <c r="N59" i="4"/>
  <c r="M60" i="4"/>
  <c r="N60" i="4"/>
  <c r="M61" i="4"/>
  <c r="N61" i="4"/>
  <c r="M62" i="4"/>
  <c r="N62" i="4"/>
  <c r="M63" i="4"/>
  <c r="N63" i="4"/>
  <c r="M64" i="4"/>
  <c r="N64" i="4"/>
  <c r="M65" i="4"/>
  <c r="N65" i="4"/>
  <c r="M66" i="4"/>
  <c r="N66" i="4"/>
  <c r="M67" i="4"/>
  <c r="N67" i="4"/>
  <c r="M68" i="4"/>
  <c r="N68" i="4"/>
  <c r="M69" i="4"/>
  <c r="N69" i="4"/>
  <c r="M70" i="4"/>
  <c r="N70" i="4"/>
  <c r="M71" i="4"/>
  <c r="N71" i="4"/>
  <c r="M72" i="4"/>
  <c r="N72" i="4"/>
  <c r="M73" i="4"/>
  <c r="N73" i="4"/>
  <c r="M74" i="4"/>
  <c r="N74" i="4"/>
  <c r="M75" i="4"/>
  <c r="N75" i="4"/>
  <c r="M76" i="4"/>
  <c r="N76" i="4"/>
  <c r="M77" i="4"/>
  <c r="N77" i="4"/>
  <c r="M78" i="4"/>
  <c r="N78" i="4"/>
  <c r="M79" i="4"/>
  <c r="N79" i="4"/>
  <c r="M80" i="4"/>
  <c r="N80" i="4"/>
  <c r="M81" i="4"/>
  <c r="N81" i="4"/>
  <c r="M82" i="4"/>
  <c r="N82" i="4"/>
  <c r="M83" i="4"/>
  <c r="N83" i="4"/>
  <c r="M84" i="4"/>
  <c r="N84" i="4"/>
  <c r="M85" i="4"/>
  <c r="N85" i="4"/>
  <c r="M86" i="4"/>
  <c r="N86" i="4"/>
  <c r="M87" i="4"/>
  <c r="N87" i="4"/>
  <c r="M88" i="4"/>
  <c r="N88" i="4"/>
  <c r="M89" i="4"/>
  <c r="N89" i="4"/>
  <c r="M90" i="4"/>
  <c r="N90" i="4"/>
  <c r="M91" i="4"/>
  <c r="N91" i="4"/>
  <c r="M92" i="4"/>
  <c r="N92" i="4"/>
  <c r="M93" i="4"/>
  <c r="N93" i="4"/>
  <c r="M94" i="4"/>
  <c r="N94" i="4"/>
  <c r="M95" i="4"/>
  <c r="N95" i="4"/>
  <c r="M96" i="4"/>
  <c r="N96" i="4"/>
  <c r="M97" i="4"/>
  <c r="N97" i="4"/>
  <c r="M98" i="4"/>
  <c r="N98" i="4"/>
  <c r="M99" i="4"/>
  <c r="N99" i="4"/>
  <c r="M100" i="4"/>
  <c r="N100" i="4"/>
  <c r="M101" i="4"/>
  <c r="N101" i="4"/>
  <c r="M102" i="4"/>
  <c r="N102" i="4"/>
  <c r="M103" i="4"/>
  <c r="N103" i="4"/>
  <c r="M104" i="4"/>
  <c r="N104" i="4"/>
  <c r="M105" i="4"/>
  <c r="N105" i="4"/>
  <c r="M106" i="4"/>
  <c r="N106" i="4"/>
  <c r="M107" i="4"/>
  <c r="N107" i="4"/>
  <c r="M108" i="4"/>
  <c r="N108" i="4"/>
  <c r="M109" i="4"/>
  <c r="N109" i="4"/>
  <c r="M110" i="4"/>
  <c r="N110" i="4"/>
  <c r="M111" i="4"/>
  <c r="N111" i="4"/>
  <c r="M112" i="4"/>
  <c r="N112" i="4"/>
  <c r="M113" i="4"/>
  <c r="N113" i="4"/>
  <c r="M114" i="4"/>
  <c r="N114" i="4"/>
  <c r="M115" i="4"/>
  <c r="N115" i="4"/>
  <c r="M116" i="4"/>
  <c r="N116" i="4"/>
  <c r="M117" i="4"/>
  <c r="N117" i="4"/>
  <c r="M118" i="4"/>
  <c r="N118" i="4"/>
  <c r="M119" i="4"/>
  <c r="N119" i="4"/>
  <c r="M120" i="4"/>
  <c r="N120" i="4"/>
  <c r="M121" i="4"/>
  <c r="N121" i="4"/>
  <c r="M122" i="4"/>
  <c r="N122" i="4"/>
  <c r="M123" i="4"/>
  <c r="N123" i="4"/>
  <c r="M124" i="4"/>
  <c r="N124" i="4"/>
  <c r="M125" i="4"/>
  <c r="N125" i="4"/>
  <c r="M126" i="4"/>
  <c r="N126" i="4"/>
  <c r="M127" i="4"/>
  <c r="N127" i="4"/>
  <c r="M128" i="4"/>
  <c r="N128" i="4"/>
  <c r="M129" i="4"/>
  <c r="N129" i="4"/>
  <c r="M130" i="4"/>
  <c r="N130" i="4"/>
  <c r="M131" i="4"/>
  <c r="N131" i="4"/>
  <c r="M132" i="4"/>
  <c r="N132" i="4"/>
  <c r="M133" i="4"/>
  <c r="N133" i="4"/>
  <c r="M134" i="4"/>
  <c r="N134" i="4"/>
  <c r="M135" i="4"/>
  <c r="N135" i="4"/>
  <c r="M136" i="4"/>
  <c r="N136" i="4"/>
  <c r="M137" i="4"/>
  <c r="N137" i="4"/>
  <c r="M138" i="4"/>
  <c r="N138" i="4"/>
  <c r="M139" i="4"/>
  <c r="N139" i="4"/>
  <c r="M140" i="4"/>
  <c r="N140" i="4"/>
  <c r="M141" i="4"/>
  <c r="N141" i="4"/>
  <c r="M142" i="4"/>
  <c r="N142" i="4"/>
  <c r="M143" i="4"/>
  <c r="N143" i="4"/>
  <c r="M144" i="4"/>
  <c r="N144" i="4"/>
  <c r="M145" i="4"/>
  <c r="N145" i="4"/>
  <c r="M146" i="4"/>
  <c r="N146" i="4"/>
  <c r="M147" i="4"/>
  <c r="N147" i="4"/>
  <c r="M148" i="4"/>
  <c r="N148" i="4"/>
  <c r="M149" i="4"/>
  <c r="N149" i="4"/>
  <c r="M150" i="4"/>
  <c r="N150" i="4"/>
  <c r="M151" i="4"/>
  <c r="N151" i="4"/>
  <c r="M152" i="4"/>
  <c r="N152" i="4"/>
  <c r="M153" i="4"/>
  <c r="N153" i="4"/>
  <c r="M154" i="4"/>
  <c r="N154" i="4"/>
  <c r="M155" i="4"/>
  <c r="N155" i="4"/>
  <c r="M156" i="4"/>
  <c r="N156" i="4"/>
  <c r="M157" i="4"/>
  <c r="N157" i="4"/>
  <c r="M158" i="4"/>
  <c r="N158" i="4"/>
  <c r="M159" i="4"/>
  <c r="N159" i="4"/>
  <c r="M160" i="4"/>
  <c r="N160" i="4"/>
  <c r="M161" i="4"/>
  <c r="N161" i="4"/>
  <c r="M162" i="4"/>
  <c r="N162" i="4"/>
  <c r="M163" i="4"/>
  <c r="N163" i="4"/>
  <c r="M164" i="4"/>
  <c r="N164" i="4"/>
  <c r="M165" i="4"/>
  <c r="N165" i="4"/>
  <c r="M166" i="4"/>
  <c r="N166" i="4"/>
  <c r="M167" i="4"/>
  <c r="N167" i="4"/>
  <c r="M168" i="4"/>
  <c r="N168" i="4"/>
  <c r="M169" i="4"/>
  <c r="N169" i="4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M185" i="4"/>
  <c r="N185" i="4"/>
  <c r="M186" i="4"/>
  <c r="N186" i="4"/>
  <c r="M187" i="4"/>
  <c r="N187" i="4"/>
  <c r="M188" i="4"/>
  <c r="N188" i="4"/>
  <c r="M189" i="4"/>
  <c r="N189" i="4"/>
  <c r="M190" i="4"/>
  <c r="N190" i="4"/>
  <c r="M191" i="4"/>
  <c r="N191" i="4"/>
  <c r="M192" i="4"/>
  <c r="N192" i="4"/>
  <c r="M193" i="4"/>
  <c r="N193" i="4"/>
  <c r="M194" i="4"/>
  <c r="N194" i="4"/>
  <c r="M195" i="4"/>
  <c r="N195" i="4"/>
  <c r="M196" i="4"/>
  <c r="N196" i="4"/>
  <c r="M197" i="4"/>
  <c r="N197" i="4"/>
  <c r="M198" i="4"/>
  <c r="N198" i="4"/>
  <c r="M199" i="4"/>
  <c r="N199" i="4"/>
  <c r="M200" i="4"/>
  <c r="N200" i="4"/>
  <c r="M201" i="4"/>
  <c r="N201" i="4"/>
  <c r="M202" i="4"/>
  <c r="N202" i="4"/>
  <c r="G119" i="1"/>
  <c r="G36" i="1"/>
  <c r="H25" i="1"/>
  <c r="G110" i="1"/>
  <c r="H109" i="1"/>
  <c r="H21" i="3"/>
  <c r="I21" i="3"/>
  <c r="J21" i="3"/>
  <c r="E119" i="1"/>
  <c r="G121" i="1"/>
  <c r="F109" i="1"/>
  <c r="H14" i="3"/>
  <c r="I14" i="3"/>
  <c r="J14" i="3"/>
  <c r="E36" i="1"/>
  <c r="H15" i="3"/>
  <c r="I15" i="3"/>
  <c r="J15" i="3"/>
  <c r="F25" i="1"/>
  <c r="E110" i="1"/>
  <c r="G126" i="1"/>
  <c r="H123" i="1"/>
  <c r="H121" i="1"/>
  <c r="E121" i="1"/>
  <c r="F123" i="1"/>
  <c r="F121" i="1"/>
  <c r="E126" i="1"/>
  <c r="H99" i="1"/>
  <c r="G89" i="1"/>
  <c r="F99" i="1"/>
  <c r="H11" i="1"/>
  <c r="A9" i="8"/>
  <c r="H9" i="3"/>
  <c r="I9" i="3"/>
  <c r="E9" i="8"/>
  <c r="A8" i="8"/>
  <c r="H8" i="3"/>
  <c r="I8" i="3"/>
  <c r="J8" i="3"/>
  <c r="B8" i="8"/>
  <c r="C8" i="8"/>
  <c r="J8" i="7"/>
  <c r="K8" i="7"/>
  <c r="D8" i="8"/>
  <c r="F8" i="8"/>
  <c r="J9" i="3"/>
  <c r="B9" i="8"/>
  <c r="C9" i="8"/>
  <c r="J9" i="7"/>
  <c r="K9" i="7"/>
  <c r="D9" i="8"/>
  <c r="F9" i="8"/>
  <c r="A10" i="8"/>
  <c r="H10" i="3"/>
  <c r="I10" i="3"/>
  <c r="E10" i="8"/>
  <c r="J10" i="3"/>
  <c r="B10" i="8"/>
  <c r="C10" i="8"/>
  <c r="J10" i="7"/>
  <c r="K10" i="7"/>
  <c r="D10" i="8"/>
  <c r="F10" i="8"/>
  <c r="A11" i="8"/>
  <c r="H11" i="3"/>
  <c r="I11" i="3"/>
  <c r="E11" i="8"/>
  <c r="J11" i="3"/>
  <c r="B11" i="8"/>
  <c r="C11" i="8"/>
  <c r="J11" i="7"/>
  <c r="K11" i="7"/>
  <c r="D11" i="8"/>
  <c r="F11" i="8"/>
  <c r="A12" i="8"/>
  <c r="H12" i="3"/>
  <c r="I12" i="3"/>
  <c r="E12" i="8"/>
  <c r="J12" i="3"/>
  <c r="B12" i="8"/>
  <c r="C12" i="8"/>
  <c r="J12" i="7"/>
  <c r="K12" i="7"/>
  <c r="D12" i="8"/>
  <c r="F12" i="8"/>
  <c r="A13" i="8"/>
  <c r="H13" i="3"/>
  <c r="I13" i="3"/>
  <c r="E13" i="8"/>
  <c r="J13" i="3"/>
  <c r="B13" i="8"/>
  <c r="C13" i="8"/>
  <c r="J13" i="7"/>
  <c r="K13" i="7"/>
  <c r="D13" i="8"/>
  <c r="F13" i="8"/>
  <c r="A14" i="8"/>
  <c r="E14" i="8"/>
  <c r="B14" i="8"/>
  <c r="C14" i="8"/>
  <c r="J14" i="7"/>
  <c r="K14" i="7"/>
  <c r="D14" i="8"/>
  <c r="F14" i="8"/>
  <c r="A15" i="8"/>
  <c r="E15" i="8"/>
  <c r="B15" i="8"/>
  <c r="C15" i="8"/>
  <c r="J15" i="7"/>
  <c r="K15" i="7"/>
  <c r="D15" i="8"/>
  <c r="F15" i="8"/>
  <c r="A16" i="8"/>
  <c r="H16" i="3"/>
  <c r="I16" i="3"/>
  <c r="E16" i="8"/>
  <c r="J16" i="3"/>
  <c r="B16" i="8"/>
  <c r="C16" i="8"/>
  <c r="J16" i="7"/>
  <c r="K16" i="7"/>
  <c r="D16" i="8"/>
  <c r="F16" i="8"/>
  <c r="A17" i="8"/>
  <c r="H17" i="3"/>
  <c r="I17" i="3"/>
  <c r="E17" i="8"/>
  <c r="J17" i="3"/>
  <c r="B17" i="8"/>
  <c r="C17" i="8"/>
  <c r="J17" i="7"/>
  <c r="K17" i="7"/>
  <c r="D17" i="8"/>
  <c r="F17" i="8"/>
  <c r="A18" i="8"/>
  <c r="H18" i="3"/>
  <c r="I18" i="3"/>
  <c r="E18" i="8"/>
  <c r="J18" i="3"/>
  <c r="B18" i="8"/>
  <c r="C18" i="8"/>
  <c r="J18" i="7"/>
  <c r="K18" i="7"/>
  <c r="D18" i="8"/>
  <c r="F18" i="8"/>
  <c r="A19" i="8"/>
  <c r="H19" i="3"/>
  <c r="I19" i="3"/>
  <c r="E19" i="8"/>
  <c r="J19" i="3"/>
  <c r="B19" i="8"/>
  <c r="C19" i="8"/>
  <c r="J19" i="7"/>
  <c r="K19" i="7"/>
  <c r="D19" i="8"/>
  <c r="F19" i="8"/>
  <c r="A20" i="8"/>
  <c r="H20" i="3"/>
  <c r="I20" i="3"/>
  <c r="E20" i="8"/>
  <c r="J20" i="3"/>
  <c r="B20" i="8"/>
  <c r="C20" i="8"/>
  <c r="J20" i="7"/>
  <c r="K20" i="7"/>
  <c r="D20" i="8"/>
  <c r="F20" i="8"/>
  <c r="A21" i="8"/>
  <c r="E21" i="8"/>
  <c r="B21" i="8"/>
  <c r="C21" i="8"/>
  <c r="J22" i="7"/>
  <c r="J23" i="7"/>
  <c r="J24" i="7"/>
  <c r="J25" i="7"/>
  <c r="K22" i="7"/>
  <c r="K23" i="7"/>
  <c r="K24" i="7"/>
  <c r="K25" i="7"/>
  <c r="J26" i="7"/>
  <c r="K26" i="7"/>
  <c r="J27" i="7"/>
  <c r="K27" i="7"/>
  <c r="J28" i="7"/>
  <c r="K28" i="7"/>
  <c r="J29" i="7"/>
  <c r="K29" i="7"/>
  <c r="J30" i="7"/>
  <c r="K30" i="7"/>
  <c r="J31" i="7"/>
  <c r="K31" i="7"/>
  <c r="J32" i="7"/>
  <c r="K32" i="7"/>
  <c r="J33" i="7"/>
  <c r="K33" i="7"/>
  <c r="J34" i="7"/>
  <c r="K34" i="7"/>
  <c r="J35" i="7"/>
  <c r="K35" i="7"/>
  <c r="J36" i="7"/>
  <c r="K36" i="7"/>
  <c r="J37" i="7"/>
  <c r="K37" i="7"/>
  <c r="J38" i="7"/>
  <c r="K38" i="7"/>
  <c r="J39" i="7"/>
  <c r="K39" i="7"/>
  <c r="J40" i="7"/>
  <c r="K40" i="7"/>
  <c r="J41" i="7"/>
  <c r="K41" i="7"/>
  <c r="J42" i="7"/>
  <c r="K42" i="7"/>
  <c r="J43" i="7"/>
  <c r="K43" i="7"/>
  <c r="J44" i="7"/>
  <c r="K44" i="7"/>
  <c r="J45" i="7"/>
  <c r="K45" i="7"/>
  <c r="J46" i="7"/>
  <c r="K46" i="7"/>
  <c r="J47" i="7"/>
  <c r="K47" i="7"/>
  <c r="J48" i="7"/>
  <c r="K48" i="7"/>
  <c r="J49" i="7"/>
  <c r="K49" i="7"/>
  <c r="J50" i="7"/>
  <c r="K50" i="7"/>
  <c r="J51" i="7"/>
  <c r="K51" i="7"/>
  <c r="J52" i="7"/>
  <c r="K52" i="7"/>
  <c r="J53" i="7"/>
  <c r="K53" i="7"/>
  <c r="J54" i="7"/>
  <c r="K54" i="7"/>
  <c r="J55" i="7"/>
  <c r="K55" i="7"/>
  <c r="J56" i="7"/>
  <c r="K56" i="7"/>
  <c r="J57" i="7"/>
  <c r="K57" i="7"/>
  <c r="J58" i="7"/>
  <c r="K58" i="7"/>
  <c r="J59" i="7"/>
  <c r="K59" i="7"/>
  <c r="J60" i="7"/>
  <c r="K60" i="7"/>
  <c r="J61" i="7"/>
  <c r="K61" i="7"/>
  <c r="J62" i="7"/>
  <c r="K62" i="7"/>
  <c r="J63" i="7"/>
  <c r="K63" i="7"/>
  <c r="J64" i="7"/>
  <c r="K64" i="7"/>
  <c r="J65" i="7"/>
  <c r="K65" i="7"/>
  <c r="J66" i="7"/>
  <c r="K66" i="7"/>
  <c r="J67" i="7"/>
  <c r="K67" i="7"/>
  <c r="J68" i="7"/>
  <c r="K68" i="7"/>
  <c r="J69" i="7"/>
  <c r="K69" i="7"/>
  <c r="J70" i="7"/>
  <c r="K70" i="7"/>
  <c r="J71" i="7"/>
  <c r="K71" i="7"/>
  <c r="J72" i="7"/>
  <c r="K72" i="7"/>
  <c r="J73" i="7"/>
  <c r="K73" i="7"/>
  <c r="J74" i="7"/>
  <c r="K74" i="7"/>
  <c r="J75" i="7"/>
  <c r="K75" i="7"/>
  <c r="J76" i="7"/>
  <c r="K76" i="7"/>
  <c r="J77" i="7"/>
  <c r="K77" i="7"/>
  <c r="J78" i="7"/>
  <c r="K78" i="7"/>
  <c r="J79" i="7"/>
  <c r="K79" i="7"/>
  <c r="J80" i="7"/>
  <c r="K80" i="7"/>
  <c r="J81" i="7"/>
  <c r="K81" i="7"/>
  <c r="J82" i="7"/>
  <c r="K82" i="7"/>
  <c r="J83" i="7"/>
  <c r="K83" i="7"/>
  <c r="J84" i="7"/>
  <c r="K84" i="7"/>
  <c r="J85" i="7"/>
  <c r="K85" i="7"/>
  <c r="J86" i="7"/>
  <c r="K86" i="7"/>
  <c r="J87" i="7"/>
  <c r="K87" i="7"/>
  <c r="J88" i="7"/>
  <c r="K88" i="7"/>
  <c r="J89" i="7"/>
  <c r="K89" i="7"/>
  <c r="J90" i="7"/>
  <c r="K90" i="7"/>
  <c r="J91" i="7"/>
  <c r="K91" i="7"/>
  <c r="J92" i="7"/>
  <c r="K92" i="7"/>
  <c r="J93" i="7"/>
  <c r="K93" i="7"/>
  <c r="J94" i="7"/>
  <c r="K94" i="7"/>
  <c r="J95" i="7"/>
  <c r="K95" i="7"/>
  <c r="J96" i="7"/>
  <c r="K96" i="7"/>
  <c r="J97" i="7"/>
  <c r="K97" i="7"/>
  <c r="J98" i="7"/>
  <c r="K98" i="7"/>
  <c r="J99" i="7"/>
  <c r="K99" i="7"/>
  <c r="J100" i="7"/>
  <c r="K100" i="7"/>
  <c r="J101" i="7"/>
  <c r="K101" i="7"/>
  <c r="J102" i="7"/>
  <c r="K102" i="7"/>
  <c r="J103" i="7"/>
  <c r="K103" i="7"/>
  <c r="J104" i="7"/>
  <c r="K104" i="7"/>
  <c r="J105" i="7"/>
  <c r="K105" i="7"/>
  <c r="J106" i="7"/>
  <c r="K106" i="7"/>
  <c r="J107" i="7"/>
  <c r="K107" i="7"/>
  <c r="J108" i="7"/>
  <c r="K108" i="7"/>
  <c r="J109" i="7"/>
  <c r="K109" i="7"/>
  <c r="J110" i="7"/>
  <c r="K110" i="7"/>
  <c r="J111" i="7"/>
  <c r="K111" i="7"/>
  <c r="J112" i="7"/>
  <c r="K112" i="7"/>
  <c r="J113" i="7"/>
  <c r="K113" i="7"/>
  <c r="J114" i="7"/>
  <c r="K114" i="7"/>
  <c r="J115" i="7"/>
  <c r="K115" i="7"/>
  <c r="J116" i="7"/>
  <c r="K116" i="7"/>
  <c r="J117" i="7"/>
  <c r="K117" i="7"/>
  <c r="J118" i="7"/>
  <c r="K118" i="7"/>
  <c r="J119" i="7"/>
  <c r="K119" i="7"/>
  <c r="J120" i="7"/>
  <c r="K120" i="7"/>
  <c r="J121" i="7"/>
  <c r="K121" i="7"/>
  <c r="J122" i="7"/>
  <c r="K122" i="7"/>
  <c r="J123" i="7"/>
  <c r="K123" i="7"/>
  <c r="J124" i="7"/>
  <c r="K124" i="7"/>
  <c r="J125" i="7"/>
  <c r="K125" i="7"/>
  <c r="J126" i="7"/>
  <c r="K126" i="7"/>
  <c r="J127" i="7"/>
  <c r="K127" i="7"/>
  <c r="J128" i="7"/>
  <c r="K128" i="7"/>
  <c r="J129" i="7"/>
  <c r="K129" i="7"/>
  <c r="J130" i="7"/>
  <c r="K130" i="7"/>
  <c r="J131" i="7"/>
  <c r="K131" i="7"/>
  <c r="J132" i="7"/>
  <c r="K132" i="7"/>
  <c r="J133" i="7"/>
  <c r="K133" i="7"/>
  <c r="J134" i="7"/>
  <c r="K134" i="7"/>
  <c r="J135" i="7"/>
  <c r="K135" i="7"/>
  <c r="J136" i="7"/>
  <c r="K136" i="7"/>
  <c r="J137" i="7"/>
  <c r="K137" i="7"/>
  <c r="J138" i="7"/>
  <c r="K138" i="7"/>
  <c r="J139" i="7"/>
  <c r="K139" i="7"/>
  <c r="J140" i="7"/>
  <c r="K140" i="7"/>
  <c r="J141" i="7"/>
  <c r="K141" i="7"/>
  <c r="J142" i="7"/>
  <c r="K142" i="7"/>
  <c r="J143" i="7"/>
  <c r="K143" i="7"/>
  <c r="J144" i="7"/>
  <c r="K144" i="7"/>
  <c r="J145" i="7"/>
  <c r="K145" i="7"/>
  <c r="J146" i="7"/>
  <c r="K146" i="7"/>
  <c r="J147" i="7"/>
  <c r="K147" i="7"/>
  <c r="J148" i="7"/>
  <c r="K148" i="7"/>
  <c r="J149" i="7"/>
  <c r="K149" i="7"/>
  <c r="J150" i="7"/>
  <c r="K150" i="7"/>
  <c r="J151" i="7"/>
  <c r="K151" i="7"/>
  <c r="J152" i="7"/>
  <c r="K152" i="7"/>
  <c r="J153" i="7"/>
  <c r="K153" i="7"/>
  <c r="J154" i="7"/>
  <c r="K154" i="7"/>
  <c r="J155" i="7"/>
  <c r="K155" i="7"/>
  <c r="J156" i="7"/>
  <c r="K156" i="7"/>
  <c r="J157" i="7"/>
  <c r="K157" i="7"/>
  <c r="J158" i="7"/>
  <c r="K158" i="7"/>
  <c r="J159" i="7"/>
  <c r="K159" i="7"/>
  <c r="J160" i="7"/>
  <c r="K160" i="7"/>
  <c r="J161" i="7"/>
  <c r="K161" i="7"/>
  <c r="J162" i="7"/>
  <c r="K162" i="7"/>
  <c r="J163" i="7"/>
  <c r="K163" i="7"/>
  <c r="J164" i="7"/>
  <c r="K164" i="7"/>
  <c r="J165" i="7"/>
  <c r="K165" i="7"/>
  <c r="J166" i="7"/>
  <c r="K166" i="7"/>
  <c r="J167" i="7"/>
  <c r="K167" i="7"/>
  <c r="J168" i="7"/>
  <c r="K168" i="7"/>
  <c r="J169" i="7"/>
  <c r="K169" i="7"/>
  <c r="J170" i="7"/>
  <c r="K170" i="7"/>
  <c r="J171" i="7"/>
  <c r="K171" i="7"/>
  <c r="J172" i="7"/>
  <c r="K172" i="7"/>
  <c r="J173" i="7"/>
  <c r="K173" i="7"/>
  <c r="J174" i="7"/>
  <c r="K174" i="7"/>
  <c r="J175" i="7"/>
  <c r="K175" i="7"/>
  <c r="J176" i="7"/>
  <c r="K176" i="7"/>
  <c r="J177" i="7"/>
  <c r="K177" i="7"/>
  <c r="J178" i="7"/>
  <c r="K178" i="7"/>
  <c r="J179" i="7"/>
  <c r="K179" i="7"/>
  <c r="J180" i="7"/>
  <c r="K180" i="7"/>
  <c r="J181" i="7"/>
  <c r="K181" i="7"/>
  <c r="J182" i="7"/>
  <c r="K182" i="7"/>
  <c r="J183" i="7"/>
  <c r="K183" i="7"/>
  <c r="J184" i="7"/>
  <c r="K184" i="7"/>
  <c r="J185" i="7"/>
  <c r="K185" i="7"/>
  <c r="J186" i="7"/>
  <c r="K186" i="7"/>
  <c r="J187" i="7"/>
  <c r="K187" i="7"/>
  <c r="J188" i="7"/>
  <c r="K188" i="7"/>
  <c r="J189" i="7"/>
  <c r="K189" i="7"/>
  <c r="J190" i="7"/>
  <c r="K190" i="7"/>
  <c r="J191" i="7"/>
  <c r="K191" i="7"/>
  <c r="J192" i="7"/>
  <c r="K192" i="7"/>
  <c r="J193" i="7"/>
  <c r="K193" i="7"/>
  <c r="J194" i="7"/>
  <c r="K194" i="7"/>
  <c r="J195" i="7"/>
  <c r="K195" i="7"/>
  <c r="J196" i="7"/>
  <c r="K196" i="7"/>
  <c r="J197" i="7"/>
  <c r="K197" i="7"/>
  <c r="J198" i="7"/>
  <c r="K198" i="7"/>
  <c r="J199" i="7"/>
  <c r="K199" i="7"/>
  <c r="J200" i="7"/>
  <c r="K200" i="7"/>
  <c r="D21" i="8"/>
  <c r="F21" i="8"/>
  <c r="A22" i="8"/>
  <c r="H22" i="3"/>
  <c r="I22" i="3"/>
  <c r="E22" i="8"/>
  <c r="J22" i="3"/>
  <c r="B22" i="8"/>
  <c r="C22" i="8"/>
  <c r="D22" i="8"/>
  <c r="F22" i="8"/>
  <c r="A23" i="8"/>
  <c r="E23" i="8"/>
  <c r="B23" i="8"/>
  <c r="C23" i="8"/>
  <c r="D23" i="8"/>
  <c r="F23" i="8"/>
  <c r="A24" i="8"/>
  <c r="E24" i="8"/>
  <c r="B24" i="8"/>
  <c r="C24" i="8"/>
  <c r="D24" i="8"/>
  <c r="F24" i="8"/>
  <c r="A25" i="8"/>
  <c r="E25" i="8"/>
  <c r="A26" i="8"/>
  <c r="E26" i="8"/>
  <c r="B25" i="8"/>
  <c r="C25" i="8"/>
  <c r="D25" i="8"/>
  <c r="F25" i="8"/>
  <c r="A27" i="8"/>
  <c r="E27" i="8"/>
  <c r="B26" i="8"/>
  <c r="C26" i="8"/>
  <c r="D26" i="8"/>
  <c r="F26" i="8"/>
  <c r="B27" i="8"/>
  <c r="C27" i="8"/>
  <c r="D27" i="8"/>
  <c r="F27" i="8"/>
  <c r="A28" i="8"/>
  <c r="E28" i="8"/>
  <c r="B28" i="8"/>
  <c r="C28" i="8"/>
  <c r="D28" i="8"/>
  <c r="F28" i="8"/>
  <c r="A29" i="8"/>
  <c r="E29" i="8"/>
  <c r="B29" i="8"/>
  <c r="C29" i="8"/>
  <c r="D29" i="8"/>
  <c r="F29" i="8"/>
  <c r="A30" i="8"/>
  <c r="E30" i="8"/>
  <c r="B30" i="8"/>
  <c r="C30" i="8"/>
  <c r="D30" i="8"/>
  <c r="F30" i="8"/>
  <c r="A31" i="8"/>
  <c r="E31" i="8"/>
  <c r="B31" i="8"/>
  <c r="C31" i="8"/>
  <c r="D31" i="8"/>
  <c r="F31" i="8"/>
  <c r="A32" i="8"/>
  <c r="E32" i="8"/>
  <c r="A33" i="8"/>
  <c r="E33" i="8"/>
  <c r="B32" i="8"/>
  <c r="C32" i="8"/>
  <c r="D32" i="8"/>
  <c r="F32" i="8"/>
  <c r="A34" i="8"/>
  <c r="E34" i="8"/>
  <c r="B33" i="8"/>
  <c r="C33" i="8"/>
  <c r="D33" i="8"/>
  <c r="F33" i="8"/>
  <c r="B34" i="8"/>
  <c r="C34" i="8"/>
  <c r="D34" i="8"/>
  <c r="F34" i="8"/>
  <c r="A35" i="8"/>
  <c r="E35" i="8"/>
  <c r="B35" i="8"/>
  <c r="C35" i="8"/>
  <c r="D35" i="8"/>
  <c r="F35" i="8"/>
  <c r="A36" i="8"/>
  <c r="E36" i="8"/>
  <c r="B36" i="8"/>
  <c r="C36" i="8"/>
  <c r="D36" i="8"/>
  <c r="F36" i="8"/>
  <c r="A37" i="8"/>
  <c r="E37" i="8"/>
  <c r="B37" i="8"/>
  <c r="C37" i="8"/>
  <c r="D37" i="8"/>
  <c r="F37" i="8"/>
  <c r="A38" i="8"/>
  <c r="E38" i="8"/>
  <c r="A39" i="8"/>
  <c r="E39" i="8"/>
  <c r="B38" i="8"/>
  <c r="C38" i="8"/>
  <c r="D38" i="8"/>
  <c r="F38" i="8"/>
  <c r="A40" i="8"/>
  <c r="E40" i="8"/>
  <c r="B39" i="8"/>
  <c r="C39" i="8"/>
  <c r="D39" i="8"/>
  <c r="F39" i="8"/>
  <c r="B40" i="8"/>
  <c r="C40" i="8"/>
  <c r="D40" i="8"/>
  <c r="F40" i="8"/>
  <c r="A41" i="8"/>
  <c r="E41" i="8"/>
  <c r="B41" i="8"/>
  <c r="C41" i="8"/>
  <c r="D41" i="8"/>
  <c r="F41" i="8"/>
  <c r="A42" i="8"/>
  <c r="E42" i="8"/>
  <c r="B42" i="8"/>
  <c r="C42" i="8"/>
  <c r="D42" i="8"/>
  <c r="F42" i="8"/>
  <c r="A43" i="8"/>
  <c r="E43" i="8"/>
  <c r="B43" i="8"/>
  <c r="C43" i="8"/>
  <c r="D43" i="8"/>
  <c r="F43" i="8"/>
  <c r="A44" i="8"/>
  <c r="E44" i="8"/>
  <c r="B44" i="8"/>
  <c r="C44" i="8"/>
  <c r="D44" i="8"/>
  <c r="F44" i="8"/>
  <c r="A45" i="8"/>
  <c r="E45" i="8"/>
  <c r="B45" i="8"/>
  <c r="C45" i="8"/>
  <c r="D45" i="8"/>
  <c r="F45" i="8"/>
  <c r="A46" i="8"/>
  <c r="E46" i="8"/>
  <c r="A47" i="8"/>
  <c r="E47" i="8"/>
  <c r="B46" i="8"/>
  <c r="C46" i="8"/>
  <c r="D46" i="8"/>
  <c r="F46" i="8"/>
  <c r="A48" i="8"/>
  <c r="E48" i="8"/>
  <c r="B47" i="8"/>
  <c r="C47" i="8"/>
  <c r="D47" i="8"/>
  <c r="F47" i="8"/>
  <c r="A49" i="8"/>
  <c r="E49" i="8"/>
  <c r="B48" i="8"/>
  <c r="C48" i="8"/>
  <c r="D48" i="8"/>
  <c r="F48" i="8"/>
  <c r="B49" i="8"/>
  <c r="C49" i="8"/>
  <c r="D49" i="8"/>
  <c r="F49" i="8"/>
  <c r="A50" i="8"/>
  <c r="E50" i="8"/>
  <c r="B50" i="8"/>
  <c r="C50" i="8"/>
  <c r="D50" i="8"/>
  <c r="F50" i="8"/>
  <c r="A51" i="8"/>
  <c r="E51" i="8"/>
  <c r="B51" i="8"/>
  <c r="C51" i="8"/>
  <c r="D51" i="8"/>
  <c r="F51" i="8"/>
  <c r="A52" i="8"/>
  <c r="E52" i="8"/>
  <c r="A53" i="8"/>
  <c r="E53" i="8"/>
  <c r="B52" i="8"/>
  <c r="C52" i="8"/>
  <c r="D52" i="8"/>
  <c r="F52" i="8"/>
  <c r="B53" i="8"/>
  <c r="C53" i="8"/>
  <c r="D53" i="8"/>
  <c r="F53" i="8"/>
  <c r="A54" i="8"/>
  <c r="E54" i="8"/>
  <c r="B54" i="8"/>
  <c r="C54" i="8"/>
  <c r="D54" i="8"/>
  <c r="F54" i="8"/>
  <c r="A55" i="8"/>
  <c r="E55" i="8"/>
  <c r="A56" i="8"/>
  <c r="E56" i="8"/>
  <c r="B55" i="8"/>
  <c r="C55" i="8"/>
  <c r="D55" i="8"/>
  <c r="F55" i="8"/>
  <c r="B56" i="8"/>
  <c r="C56" i="8"/>
  <c r="D56" i="8"/>
  <c r="F56" i="8"/>
  <c r="A57" i="8"/>
  <c r="E57" i="8"/>
  <c r="B57" i="8"/>
  <c r="C57" i="8"/>
  <c r="D57" i="8"/>
  <c r="F57" i="8"/>
  <c r="A58" i="8"/>
  <c r="E58" i="8"/>
  <c r="A59" i="8"/>
  <c r="E59" i="8"/>
  <c r="B58" i="8"/>
  <c r="C58" i="8"/>
  <c r="D58" i="8"/>
  <c r="F58" i="8"/>
  <c r="B59" i="8"/>
  <c r="C59" i="8"/>
  <c r="D59" i="8"/>
  <c r="F59" i="8"/>
  <c r="A60" i="8"/>
  <c r="E60" i="8"/>
  <c r="B60" i="8"/>
  <c r="C60" i="8"/>
  <c r="D60" i="8"/>
  <c r="F60" i="8"/>
  <c r="A61" i="8"/>
  <c r="E61" i="8"/>
  <c r="B61" i="8"/>
  <c r="C61" i="8"/>
  <c r="D61" i="8"/>
  <c r="F61" i="8"/>
  <c r="A62" i="8"/>
  <c r="E62" i="8"/>
  <c r="B62" i="8"/>
  <c r="C62" i="8"/>
  <c r="D62" i="8"/>
  <c r="F62" i="8"/>
  <c r="A63" i="8"/>
  <c r="E63" i="8"/>
  <c r="B63" i="8"/>
  <c r="C63" i="8"/>
  <c r="D63" i="8"/>
  <c r="F63" i="8"/>
  <c r="A64" i="8"/>
  <c r="E64" i="8"/>
  <c r="B64" i="8"/>
  <c r="C64" i="8"/>
  <c r="D64" i="8"/>
  <c r="F64" i="8"/>
  <c r="A65" i="8"/>
  <c r="E65" i="8"/>
  <c r="A66" i="8"/>
  <c r="E66" i="8"/>
  <c r="B65" i="8"/>
  <c r="C65" i="8"/>
  <c r="D65" i="8"/>
  <c r="F65" i="8"/>
  <c r="B66" i="8"/>
  <c r="C66" i="8"/>
  <c r="D66" i="8"/>
  <c r="F66" i="8"/>
  <c r="A67" i="8"/>
  <c r="E67" i="8"/>
  <c r="B67" i="8"/>
  <c r="C67" i="8"/>
  <c r="D67" i="8"/>
  <c r="F67" i="8"/>
  <c r="A68" i="8"/>
  <c r="E68" i="8"/>
  <c r="A69" i="8"/>
  <c r="E69" i="8"/>
  <c r="B68" i="8"/>
  <c r="C68" i="8"/>
  <c r="D68" i="8"/>
  <c r="F68" i="8"/>
  <c r="A70" i="8"/>
  <c r="E70" i="8"/>
  <c r="B69" i="8"/>
  <c r="C69" i="8"/>
  <c r="D69" i="8"/>
  <c r="F69" i="8"/>
  <c r="A71" i="8"/>
  <c r="E71" i="8"/>
  <c r="B70" i="8"/>
  <c r="C70" i="8"/>
  <c r="D70" i="8"/>
  <c r="F70" i="8"/>
  <c r="B71" i="8"/>
  <c r="C71" i="8"/>
  <c r="D71" i="8"/>
  <c r="F71" i="8"/>
  <c r="A72" i="8"/>
  <c r="E72" i="8"/>
  <c r="B72" i="8"/>
  <c r="C72" i="8"/>
  <c r="D72" i="8"/>
  <c r="F72" i="8"/>
  <c r="A73" i="8"/>
  <c r="E73" i="8"/>
  <c r="B73" i="8"/>
  <c r="C73" i="8"/>
  <c r="D73" i="8"/>
  <c r="F73" i="8"/>
  <c r="A74" i="8"/>
  <c r="E74" i="8"/>
  <c r="B74" i="8"/>
  <c r="C74" i="8"/>
  <c r="D74" i="8"/>
  <c r="F74" i="8"/>
  <c r="A75" i="8"/>
  <c r="E75" i="8"/>
  <c r="B75" i="8"/>
  <c r="C75" i="8"/>
  <c r="D75" i="8"/>
  <c r="F75" i="8"/>
  <c r="A76" i="8"/>
  <c r="E76" i="8"/>
  <c r="B76" i="8"/>
  <c r="C76" i="8"/>
  <c r="D76" i="8"/>
  <c r="F76" i="8"/>
  <c r="A77" i="8"/>
  <c r="E77" i="8"/>
  <c r="B77" i="8"/>
  <c r="C77" i="8"/>
  <c r="D77" i="8"/>
  <c r="F77" i="8"/>
  <c r="A78" i="8"/>
  <c r="E78" i="8"/>
  <c r="B78" i="8"/>
  <c r="C78" i="8"/>
  <c r="D78" i="8"/>
  <c r="F78" i="8"/>
  <c r="A79" i="8"/>
  <c r="E79" i="8"/>
  <c r="B79" i="8"/>
  <c r="C79" i="8"/>
  <c r="D79" i="8"/>
  <c r="F79" i="8"/>
  <c r="A80" i="8"/>
  <c r="E80" i="8"/>
  <c r="B80" i="8"/>
  <c r="C80" i="8"/>
  <c r="D80" i="8"/>
  <c r="F80" i="8"/>
  <c r="A81" i="8"/>
  <c r="E81" i="8"/>
  <c r="B81" i="8"/>
  <c r="C81" i="8"/>
  <c r="D81" i="8"/>
  <c r="F81" i="8"/>
  <c r="A82" i="8"/>
  <c r="E82" i="8"/>
  <c r="A83" i="8"/>
  <c r="E83" i="8"/>
  <c r="B82" i="8"/>
  <c r="C82" i="8"/>
  <c r="D82" i="8"/>
  <c r="F82" i="8"/>
  <c r="B83" i="8"/>
  <c r="C83" i="8"/>
  <c r="D83" i="8"/>
  <c r="F83" i="8"/>
  <c r="A84" i="8"/>
  <c r="E84" i="8"/>
  <c r="B84" i="8"/>
  <c r="C84" i="8"/>
  <c r="D84" i="8"/>
  <c r="F84" i="8"/>
  <c r="A85" i="8"/>
  <c r="E85" i="8"/>
  <c r="A86" i="8"/>
  <c r="E86" i="8"/>
  <c r="B85" i="8"/>
  <c r="C85" i="8"/>
  <c r="D85" i="8"/>
  <c r="F85" i="8"/>
  <c r="A87" i="8"/>
  <c r="E87" i="8"/>
  <c r="B86" i="8"/>
  <c r="C86" i="8"/>
  <c r="D86" i="8"/>
  <c r="F86" i="8"/>
  <c r="A88" i="8"/>
  <c r="E88" i="8"/>
  <c r="B87" i="8"/>
  <c r="C87" i="8"/>
  <c r="D87" i="8"/>
  <c r="F87" i="8"/>
  <c r="A89" i="8"/>
  <c r="E89" i="8"/>
  <c r="B88" i="8"/>
  <c r="C88" i="8"/>
  <c r="D88" i="8"/>
  <c r="F88" i="8"/>
  <c r="A90" i="8"/>
  <c r="E90" i="8"/>
  <c r="B89" i="8"/>
  <c r="C89" i="8"/>
  <c r="D89" i="8"/>
  <c r="F89" i="8"/>
  <c r="B90" i="8"/>
  <c r="C90" i="8"/>
  <c r="D90" i="8"/>
  <c r="F90" i="8"/>
  <c r="A91" i="8"/>
  <c r="E91" i="8"/>
  <c r="B91" i="8"/>
  <c r="C91" i="8"/>
  <c r="D91" i="8"/>
  <c r="F91" i="8"/>
  <c r="A92" i="8"/>
  <c r="E92" i="8"/>
  <c r="B92" i="8"/>
  <c r="C92" i="8"/>
  <c r="D92" i="8"/>
  <c r="F92" i="8"/>
  <c r="A93" i="8"/>
  <c r="E93" i="8"/>
  <c r="B93" i="8"/>
  <c r="C93" i="8"/>
  <c r="D93" i="8"/>
  <c r="F93" i="8"/>
  <c r="A94" i="8"/>
  <c r="E94" i="8"/>
  <c r="B94" i="8"/>
  <c r="C94" i="8"/>
  <c r="D94" i="8"/>
  <c r="F94" i="8"/>
  <c r="A95" i="8"/>
  <c r="E95" i="8"/>
  <c r="B95" i="8"/>
  <c r="C95" i="8"/>
  <c r="D95" i="8"/>
  <c r="F95" i="8"/>
  <c r="A96" i="8"/>
  <c r="E96" i="8"/>
  <c r="A97" i="8"/>
  <c r="E97" i="8"/>
  <c r="B96" i="8"/>
  <c r="C96" i="8"/>
  <c r="D96" i="8"/>
  <c r="F96" i="8"/>
  <c r="A98" i="8"/>
  <c r="E98" i="8"/>
  <c r="B97" i="8"/>
  <c r="C97" i="8"/>
  <c r="D97" i="8"/>
  <c r="F97" i="8"/>
  <c r="A99" i="8"/>
  <c r="E99" i="8"/>
  <c r="B98" i="8"/>
  <c r="C98" i="8"/>
  <c r="D98" i="8"/>
  <c r="F98" i="8"/>
  <c r="B99" i="8"/>
  <c r="C99" i="8"/>
  <c r="D99" i="8"/>
  <c r="F99" i="8"/>
  <c r="A100" i="8"/>
  <c r="E100" i="8"/>
  <c r="B100" i="8"/>
  <c r="C100" i="8"/>
  <c r="D100" i="8"/>
  <c r="F100" i="8"/>
  <c r="A101" i="8"/>
  <c r="E101" i="8"/>
  <c r="B101" i="8"/>
  <c r="C101" i="8"/>
  <c r="D101" i="8"/>
  <c r="F101" i="8"/>
  <c r="A102" i="8"/>
  <c r="E102" i="8"/>
  <c r="A103" i="8"/>
  <c r="E103" i="8"/>
  <c r="B102" i="8"/>
  <c r="C102" i="8"/>
  <c r="D102" i="8"/>
  <c r="F102" i="8"/>
  <c r="B103" i="8"/>
  <c r="C103" i="8"/>
  <c r="D103" i="8"/>
  <c r="F103" i="8"/>
  <c r="A104" i="8"/>
  <c r="E104" i="8"/>
  <c r="B104" i="8"/>
  <c r="C104" i="8"/>
  <c r="D104" i="8"/>
  <c r="F104" i="8"/>
  <c r="A105" i="8"/>
  <c r="E105" i="8"/>
  <c r="B105" i="8"/>
  <c r="C105" i="8"/>
  <c r="D105" i="8"/>
  <c r="F105" i="8"/>
  <c r="A106" i="8"/>
  <c r="E106" i="8"/>
  <c r="B106" i="8"/>
  <c r="C106" i="8"/>
  <c r="D106" i="8"/>
  <c r="F106" i="8"/>
  <c r="A107" i="8"/>
  <c r="E107" i="8"/>
  <c r="B107" i="8"/>
  <c r="C107" i="8"/>
  <c r="D107" i="8"/>
  <c r="F107" i="8"/>
  <c r="A108" i="8"/>
  <c r="E108" i="8"/>
  <c r="B108" i="8"/>
  <c r="C108" i="8"/>
  <c r="D108" i="8"/>
  <c r="F108" i="8"/>
  <c r="A109" i="8"/>
  <c r="E109" i="8"/>
  <c r="B109" i="8"/>
  <c r="C109" i="8"/>
  <c r="D109" i="8"/>
  <c r="F109" i="8"/>
  <c r="A110" i="8"/>
  <c r="E110" i="8"/>
  <c r="B110" i="8"/>
  <c r="C110" i="8"/>
  <c r="D110" i="8"/>
  <c r="F110" i="8"/>
  <c r="A111" i="8"/>
  <c r="E111" i="8"/>
  <c r="B111" i="8"/>
  <c r="C111" i="8"/>
  <c r="D111" i="8"/>
  <c r="F111" i="8"/>
  <c r="A112" i="8"/>
  <c r="E112" i="8"/>
  <c r="B112" i="8"/>
  <c r="C112" i="8"/>
  <c r="D112" i="8"/>
  <c r="F112" i="8"/>
  <c r="A113" i="8"/>
  <c r="E113" i="8"/>
  <c r="B113" i="8"/>
  <c r="C113" i="8"/>
  <c r="D113" i="8"/>
  <c r="F113" i="8"/>
  <c r="A114" i="8"/>
  <c r="E114" i="8"/>
  <c r="B114" i="8"/>
  <c r="C114" i="8"/>
  <c r="D114" i="8"/>
  <c r="F114" i="8"/>
  <c r="A115" i="8"/>
  <c r="E115" i="8"/>
  <c r="B115" i="8"/>
  <c r="C115" i="8"/>
  <c r="D115" i="8"/>
  <c r="F115" i="8"/>
  <c r="A116" i="8"/>
  <c r="E116" i="8"/>
  <c r="B116" i="8"/>
  <c r="C116" i="8"/>
  <c r="D116" i="8"/>
  <c r="F116" i="8"/>
  <c r="A117" i="8"/>
  <c r="E117" i="8"/>
  <c r="B117" i="8"/>
  <c r="C117" i="8"/>
  <c r="D117" i="8"/>
  <c r="F117" i="8"/>
  <c r="A118" i="8"/>
  <c r="E118" i="8"/>
  <c r="B118" i="8"/>
  <c r="C118" i="8"/>
  <c r="D118" i="8"/>
  <c r="F118" i="8"/>
  <c r="A119" i="8"/>
  <c r="E119" i="8"/>
  <c r="B119" i="8"/>
  <c r="C119" i="8"/>
  <c r="D119" i="8"/>
  <c r="F119" i="8"/>
  <c r="A120" i="8"/>
  <c r="E120" i="8"/>
  <c r="B120" i="8"/>
  <c r="C120" i="8"/>
  <c r="D120" i="8"/>
  <c r="F120" i="8"/>
  <c r="A121" i="8"/>
  <c r="E121" i="8"/>
  <c r="B121" i="8"/>
  <c r="C121" i="8"/>
  <c r="D121" i="8"/>
  <c r="F121" i="8"/>
  <c r="A122" i="8"/>
  <c r="E122" i="8"/>
  <c r="B122" i="8"/>
  <c r="C122" i="8"/>
  <c r="D122" i="8"/>
  <c r="F122" i="8"/>
  <c r="A123" i="8"/>
  <c r="E123" i="8"/>
  <c r="B123" i="8"/>
  <c r="C123" i="8"/>
  <c r="D123" i="8"/>
  <c r="F123" i="8"/>
  <c r="A124" i="8"/>
  <c r="E124" i="8"/>
  <c r="B124" i="8"/>
  <c r="C124" i="8"/>
  <c r="D124" i="8"/>
  <c r="F124" i="8"/>
  <c r="A125" i="8"/>
  <c r="E125" i="8"/>
  <c r="B125" i="8"/>
  <c r="C125" i="8"/>
  <c r="D125" i="8"/>
  <c r="F125" i="8"/>
  <c r="A126" i="8"/>
  <c r="E126" i="8"/>
  <c r="B126" i="8"/>
  <c r="C126" i="8"/>
  <c r="D126" i="8"/>
  <c r="F126" i="8"/>
  <c r="A127" i="8"/>
  <c r="E127" i="8"/>
  <c r="B127" i="8"/>
  <c r="C127" i="8"/>
  <c r="D127" i="8"/>
  <c r="F127" i="8"/>
  <c r="A128" i="8"/>
  <c r="E128" i="8"/>
  <c r="B128" i="8"/>
  <c r="C128" i="8"/>
  <c r="D128" i="8"/>
  <c r="F128" i="8"/>
  <c r="A129" i="8"/>
  <c r="E129" i="8"/>
  <c r="B129" i="8"/>
  <c r="C129" i="8"/>
  <c r="D129" i="8"/>
  <c r="F129" i="8"/>
  <c r="A130" i="8"/>
  <c r="E130" i="8"/>
  <c r="B130" i="8"/>
  <c r="C130" i="8"/>
  <c r="D130" i="8"/>
  <c r="F130" i="8"/>
  <c r="A131" i="8"/>
  <c r="E131" i="8"/>
  <c r="B131" i="8"/>
  <c r="C131" i="8"/>
  <c r="D131" i="8"/>
  <c r="F131" i="8"/>
  <c r="A132" i="8"/>
  <c r="E132" i="8"/>
  <c r="B132" i="8"/>
  <c r="C132" i="8"/>
  <c r="D132" i="8"/>
  <c r="F132" i="8"/>
  <c r="A133" i="8"/>
  <c r="E133" i="8"/>
  <c r="B133" i="8"/>
  <c r="C133" i="8"/>
  <c r="D133" i="8"/>
  <c r="F133" i="8"/>
  <c r="A134" i="8"/>
  <c r="E134" i="8"/>
  <c r="B134" i="8"/>
  <c r="C134" i="8"/>
  <c r="D134" i="8"/>
  <c r="F134" i="8"/>
  <c r="A135" i="8"/>
  <c r="E135" i="8"/>
  <c r="B135" i="8"/>
  <c r="C135" i="8"/>
  <c r="D135" i="8"/>
  <c r="F135" i="8"/>
  <c r="A136" i="8"/>
  <c r="E136" i="8"/>
  <c r="B136" i="8"/>
  <c r="C136" i="8"/>
  <c r="D136" i="8"/>
  <c r="F136" i="8"/>
  <c r="A137" i="8"/>
  <c r="E137" i="8"/>
  <c r="B137" i="8"/>
  <c r="C137" i="8"/>
  <c r="D137" i="8"/>
  <c r="F137" i="8"/>
  <c r="A138" i="8"/>
  <c r="E138" i="8"/>
  <c r="B138" i="8"/>
  <c r="C138" i="8"/>
  <c r="D138" i="8"/>
  <c r="F138" i="8"/>
  <c r="A139" i="8"/>
  <c r="E139" i="8"/>
  <c r="B139" i="8"/>
  <c r="C139" i="8"/>
  <c r="D139" i="8"/>
  <c r="F139" i="8"/>
  <c r="A140" i="8"/>
  <c r="E140" i="8"/>
  <c r="B140" i="8"/>
  <c r="C140" i="8"/>
  <c r="D140" i="8"/>
  <c r="F140" i="8"/>
  <c r="A141" i="8"/>
  <c r="E141" i="8"/>
  <c r="B141" i="8"/>
  <c r="C141" i="8"/>
  <c r="D141" i="8"/>
  <c r="F141" i="8"/>
  <c r="A142" i="8"/>
  <c r="E142" i="8"/>
  <c r="B142" i="8"/>
  <c r="C142" i="8"/>
  <c r="D142" i="8"/>
  <c r="F142" i="8"/>
  <c r="A143" i="8"/>
  <c r="E143" i="8"/>
  <c r="B143" i="8"/>
  <c r="C143" i="8"/>
  <c r="D143" i="8"/>
  <c r="F143" i="8"/>
  <c r="A144" i="8"/>
  <c r="E144" i="8"/>
  <c r="B144" i="8"/>
  <c r="C144" i="8"/>
  <c r="D144" i="8"/>
  <c r="F144" i="8"/>
  <c r="A145" i="8"/>
  <c r="E145" i="8"/>
  <c r="B145" i="8"/>
  <c r="C145" i="8"/>
  <c r="D145" i="8"/>
  <c r="F145" i="8"/>
  <c r="A146" i="8"/>
  <c r="E146" i="8"/>
  <c r="B146" i="8"/>
  <c r="C146" i="8"/>
  <c r="D146" i="8"/>
  <c r="F146" i="8"/>
  <c r="A147" i="8"/>
  <c r="E147" i="8"/>
  <c r="B147" i="8"/>
  <c r="C147" i="8"/>
  <c r="D147" i="8"/>
  <c r="F147" i="8"/>
  <c r="A148" i="8"/>
  <c r="E148" i="8"/>
  <c r="B148" i="8"/>
  <c r="C148" i="8"/>
  <c r="D148" i="8"/>
  <c r="F148" i="8"/>
  <c r="A149" i="8"/>
  <c r="E149" i="8"/>
  <c r="B149" i="8"/>
  <c r="C149" i="8"/>
  <c r="D149" i="8"/>
  <c r="F149" i="8"/>
  <c r="A150" i="8"/>
  <c r="E150" i="8"/>
  <c r="B150" i="8"/>
  <c r="C150" i="8"/>
  <c r="D150" i="8"/>
  <c r="F150" i="8"/>
  <c r="A151" i="8"/>
  <c r="E151" i="8"/>
  <c r="B151" i="8"/>
  <c r="C151" i="8"/>
  <c r="D151" i="8"/>
  <c r="F151" i="8"/>
  <c r="A152" i="8"/>
  <c r="E152" i="8"/>
  <c r="B152" i="8"/>
  <c r="C152" i="8"/>
  <c r="D152" i="8"/>
  <c r="F152" i="8"/>
  <c r="A153" i="8"/>
  <c r="E153" i="8"/>
  <c r="B153" i="8"/>
  <c r="C153" i="8"/>
  <c r="D153" i="8"/>
  <c r="F153" i="8"/>
  <c r="A154" i="8"/>
  <c r="E154" i="8"/>
  <c r="B154" i="8"/>
  <c r="C154" i="8"/>
  <c r="D154" i="8"/>
  <c r="F154" i="8"/>
  <c r="A155" i="8"/>
  <c r="E155" i="8"/>
  <c r="B155" i="8"/>
  <c r="C155" i="8"/>
  <c r="D155" i="8"/>
  <c r="F155" i="8"/>
  <c r="A156" i="8"/>
  <c r="E156" i="8"/>
  <c r="B156" i="8"/>
  <c r="C156" i="8"/>
  <c r="D156" i="8"/>
  <c r="F156" i="8"/>
  <c r="A157" i="8"/>
  <c r="E157" i="8"/>
  <c r="B157" i="8"/>
  <c r="C157" i="8"/>
  <c r="D157" i="8"/>
  <c r="F157" i="8"/>
  <c r="A158" i="8"/>
  <c r="E158" i="8"/>
  <c r="B158" i="8"/>
  <c r="C158" i="8"/>
  <c r="D158" i="8"/>
  <c r="F158" i="8"/>
  <c r="A159" i="8"/>
  <c r="E159" i="8"/>
  <c r="B159" i="8"/>
  <c r="C159" i="8"/>
  <c r="D159" i="8"/>
  <c r="F159" i="8"/>
  <c r="A160" i="8"/>
  <c r="E160" i="8"/>
  <c r="B160" i="8"/>
  <c r="C160" i="8"/>
  <c r="D160" i="8"/>
  <c r="F160" i="8"/>
  <c r="A161" i="8"/>
  <c r="E161" i="8"/>
  <c r="B161" i="8"/>
  <c r="C161" i="8"/>
  <c r="D161" i="8"/>
  <c r="F161" i="8"/>
  <c r="A162" i="8"/>
  <c r="E162" i="8"/>
  <c r="B162" i="8"/>
  <c r="C162" i="8"/>
  <c r="D162" i="8"/>
  <c r="F162" i="8"/>
  <c r="A163" i="8"/>
  <c r="E163" i="8"/>
  <c r="B163" i="8"/>
  <c r="C163" i="8"/>
  <c r="D163" i="8"/>
  <c r="F163" i="8"/>
  <c r="A164" i="8"/>
  <c r="E164" i="8"/>
  <c r="B164" i="8"/>
  <c r="C164" i="8"/>
  <c r="D164" i="8"/>
  <c r="F164" i="8"/>
  <c r="A165" i="8"/>
  <c r="E165" i="8"/>
  <c r="B165" i="8"/>
  <c r="C165" i="8"/>
  <c r="D165" i="8"/>
  <c r="F165" i="8"/>
  <c r="A166" i="8"/>
  <c r="E166" i="8"/>
  <c r="B166" i="8"/>
  <c r="C166" i="8"/>
  <c r="D166" i="8"/>
  <c r="F166" i="8"/>
  <c r="A167" i="8"/>
  <c r="E167" i="8"/>
  <c r="B167" i="8"/>
  <c r="C167" i="8"/>
  <c r="D167" i="8"/>
  <c r="F167" i="8"/>
  <c r="A168" i="8"/>
  <c r="E168" i="8"/>
  <c r="B168" i="8"/>
  <c r="C168" i="8"/>
  <c r="D168" i="8"/>
  <c r="F168" i="8"/>
  <c r="A169" i="8"/>
  <c r="E169" i="8"/>
  <c r="B169" i="8"/>
  <c r="C169" i="8"/>
  <c r="D169" i="8"/>
  <c r="F169" i="8"/>
  <c r="A170" i="8"/>
  <c r="E170" i="8"/>
  <c r="B170" i="8"/>
  <c r="C170" i="8"/>
  <c r="D170" i="8"/>
  <c r="F170" i="8"/>
  <c r="A171" i="8"/>
  <c r="E171" i="8"/>
  <c r="B171" i="8"/>
  <c r="C171" i="8"/>
  <c r="D171" i="8"/>
  <c r="F171" i="8"/>
  <c r="A172" i="8"/>
  <c r="E172" i="8"/>
  <c r="B172" i="8"/>
  <c r="C172" i="8"/>
  <c r="D172" i="8"/>
  <c r="F172" i="8"/>
  <c r="A173" i="8"/>
  <c r="E173" i="8"/>
  <c r="B173" i="8"/>
  <c r="C173" i="8"/>
  <c r="D173" i="8"/>
  <c r="F173" i="8"/>
  <c r="A174" i="8"/>
  <c r="E174" i="8"/>
  <c r="B174" i="8"/>
  <c r="C174" i="8"/>
  <c r="D174" i="8"/>
  <c r="F174" i="8"/>
  <c r="A175" i="8"/>
  <c r="E175" i="8"/>
  <c r="B175" i="8"/>
  <c r="C175" i="8"/>
  <c r="D175" i="8"/>
  <c r="F175" i="8"/>
  <c r="A176" i="8"/>
  <c r="E176" i="8"/>
  <c r="B176" i="8"/>
  <c r="C176" i="8"/>
  <c r="D176" i="8"/>
  <c r="F176" i="8"/>
  <c r="A177" i="8"/>
  <c r="E177" i="8"/>
  <c r="B177" i="8"/>
  <c r="C177" i="8"/>
  <c r="D177" i="8"/>
  <c r="F177" i="8"/>
  <c r="A178" i="8"/>
  <c r="E178" i="8"/>
  <c r="B178" i="8"/>
  <c r="C178" i="8"/>
  <c r="D178" i="8"/>
  <c r="F178" i="8"/>
  <c r="A179" i="8"/>
  <c r="E179" i="8"/>
  <c r="B179" i="8"/>
  <c r="C179" i="8"/>
  <c r="D179" i="8"/>
  <c r="F179" i="8"/>
  <c r="A180" i="8"/>
  <c r="E180" i="8"/>
  <c r="B180" i="8"/>
  <c r="C180" i="8"/>
  <c r="D180" i="8"/>
  <c r="F180" i="8"/>
  <c r="A181" i="8"/>
  <c r="E181" i="8"/>
  <c r="B181" i="8"/>
  <c r="C181" i="8"/>
  <c r="D181" i="8"/>
  <c r="F181" i="8"/>
  <c r="A182" i="8"/>
  <c r="E182" i="8"/>
  <c r="B182" i="8"/>
  <c r="C182" i="8"/>
  <c r="D182" i="8"/>
  <c r="F182" i="8"/>
  <c r="A183" i="8"/>
  <c r="E183" i="8"/>
  <c r="B183" i="8"/>
  <c r="C183" i="8"/>
  <c r="D183" i="8"/>
  <c r="F183" i="8"/>
  <c r="A184" i="8"/>
  <c r="E184" i="8"/>
  <c r="B184" i="8"/>
  <c r="C184" i="8"/>
  <c r="D184" i="8"/>
  <c r="F184" i="8"/>
  <c r="A185" i="8"/>
  <c r="E185" i="8"/>
  <c r="B185" i="8"/>
  <c r="C185" i="8"/>
  <c r="D185" i="8"/>
  <c r="F185" i="8"/>
  <c r="A186" i="8"/>
  <c r="E186" i="8"/>
  <c r="B186" i="8"/>
  <c r="C186" i="8"/>
  <c r="D186" i="8"/>
  <c r="F186" i="8"/>
  <c r="A187" i="8"/>
  <c r="E187" i="8"/>
  <c r="B187" i="8"/>
  <c r="C187" i="8"/>
  <c r="D187" i="8"/>
  <c r="F187" i="8"/>
  <c r="A188" i="8"/>
  <c r="E188" i="8"/>
  <c r="B188" i="8"/>
  <c r="C188" i="8"/>
  <c r="D188" i="8"/>
  <c r="F188" i="8"/>
  <c r="A189" i="8"/>
  <c r="E189" i="8"/>
  <c r="B189" i="8"/>
  <c r="C189" i="8"/>
  <c r="D189" i="8"/>
  <c r="F189" i="8"/>
  <c r="A190" i="8"/>
  <c r="E190" i="8"/>
  <c r="B190" i="8"/>
  <c r="C190" i="8"/>
  <c r="D190" i="8"/>
  <c r="F190" i="8"/>
  <c r="A191" i="8"/>
  <c r="E191" i="8"/>
  <c r="B191" i="8"/>
  <c r="C191" i="8"/>
  <c r="D191" i="8"/>
  <c r="F191" i="8"/>
  <c r="A192" i="8"/>
  <c r="E192" i="8"/>
  <c r="B192" i="8"/>
  <c r="C192" i="8"/>
  <c r="D192" i="8"/>
  <c r="F192" i="8"/>
  <c r="A193" i="8"/>
  <c r="E193" i="8"/>
  <c r="B193" i="8"/>
  <c r="C193" i="8"/>
  <c r="D193" i="8"/>
  <c r="F193" i="8"/>
  <c r="A194" i="8"/>
  <c r="E194" i="8"/>
  <c r="B194" i="8"/>
  <c r="C194" i="8"/>
  <c r="D194" i="8"/>
  <c r="F194" i="8"/>
  <c r="A195" i="8"/>
  <c r="E195" i="8"/>
  <c r="B195" i="8"/>
  <c r="C195" i="8"/>
  <c r="D195" i="8"/>
  <c r="F195" i="8"/>
  <c r="A196" i="8"/>
  <c r="E196" i="8"/>
  <c r="B196" i="8"/>
  <c r="C196" i="8"/>
  <c r="D196" i="8"/>
  <c r="F196" i="8"/>
  <c r="A197" i="8"/>
  <c r="E197" i="8"/>
  <c r="B197" i="8"/>
  <c r="C197" i="8"/>
  <c r="D197" i="8"/>
  <c r="F197" i="8"/>
  <c r="A198" i="8"/>
  <c r="E198" i="8"/>
  <c r="B198" i="8"/>
  <c r="C198" i="8"/>
  <c r="D198" i="8"/>
  <c r="F198" i="8"/>
  <c r="A199" i="8"/>
  <c r="E199" i="8"/>
  <c r="B199" i="8"/>
  <c r="C199" i="8"/>
  <c r="D199" i="8"/>
  <c r="F199" i="8"/>
  <c r="A200" i="8"/>
  <c r="E200" i="8"/>
  <c r="B200" i="8"/>
  <c r="C200" i="8"/>
  <c r="D200" i="8"/>
  <c r="F200" i="8"/>
  <c r="A201" i="8"/>
  <c r="E201" i="8"/>
  <c r="G58" i="1"/>
  <c r="H82" i="1"/>
  <c r="H111" i="1"/>
  <c r="G13" i="1"/>
  <c r="H63" i="1"/>
  <c r="H78" i="1"/>
  <c r="G107" i="1"/>
  <c r="G115" i="1"/>
  <c r="H91" i="1"/>
  <c r="H116" i="1"/>
  <c r="H97" i="1"/>
  <c r="G85" i="1"/>
  <c r="H110" i="1"/>
  <c r="H104" i="1"/>
  <c r="H47" i="1"/>
  <c r="G51" i="1"/>
  <c r="G62" i="1"/>
  <c r="G106" i="1"/>
  <c r="G8" i="1"/>
  <c r="H8" i="1"/>
  <c r="G68" i="1"/>
  <c r="G83" i="1"/>
  <c r="G14" i="1"/>
  <c r="H117" i="1"/>
  <c r="G100" i="1"/>
  <c r="H126" i="1"/>
  <c r="H19" i="1"/>
  <c r="G57" i="1"/>
  <c r="H102" i="1"/>
  <c r="H55" i="1"/>
  <c r="H125" i="1"/>
  <c r="H74" i="1"/>
  <c r="G79" i="1"/>
  <c r="H113" i="1"/>
  <c r="G59" i="1"/>
  <c r="G46" i="1"/>
  <c r="G18" i="1"/>
  <c r="H35" i="1"/>
  <c r="G30" i="1"/>
  <c r="G88" i="1"/>
  <c r="H32" i="1"/>
  <c r="G7" i="1"/>
  <c r="G52" i="1"/>
  <c r="G47" i="1"/>
  <c r="G23" i="1"/>
  <c r="G38" i="1"/>
  <c r="G27" i="1"/>
  <c r="H15" i="1"/>
  <c r="H17" i="1"/>
  <c r="H3" i="1"/>
  <c r="H67" i="1"/>
  <c r="G84" i="1"/>
  <c r="H4" i="1"/>
  <c r="H16" i="1"/>
  <c r="G109" i="1"/>
  <c r="G102" i="1"/>
  <c r="H22" i="1"/>
  <c r="G39" i="1"/>
  <c r="H119" i="1"/>
  <c r="H41" i="1"/>
  <c r="H64" i="1"/>
  <c r="G87" i="1"/>
  <c r="H52" i="1"/>
  <c r="H24" i="1"/>
  <c r="H86" i="1"/>
  <c r="G116" i="1"/>
  <c r="H87" i="1"/>
  <c r="H112" i="1"/>
  <c r="H51" i="1"/>
  <c r="G104" i="1"/>
  <c r="G108" i="1"/>
  <c r="G64" i="1"/>
  <c r="G34" i="1"/>
  <c r="G25" i="1"/>
  <c r="G91" i="1"/>
  <c r="G77" i="1"/>
  <c r="G123" i="1"/>
  <c r="H98" i="1"/>
  <c r="H43" i="1"/>
  <c r="H6" i="1"/>
  <c r="G96" i="1"/>
  <c r="H84" i="1"/>
  <c r="G12" i="1"/>
  <c r="G35" i="1"/>
  <c r="G43" i="1"/>
  <c r="H69" i="1"/>
  <c r="H13" i="1"/>
  <c r="G117" i="1"/>
  <c r="G113" i="1"/>
  <c r="G31" i="1"/>
  <c r="H100" i="1"/>
  <c r="H77" i="1"/>
  <c r="H92" i="1"/>
  <c r="H2" i="1"/>
  <c r="H124" i="1"/>
  <c r="H94" i="1"/>
  <c r="G93" i="1"/>
  <c r="H27" i="1"/>
  <c r="G17" i="1"/>
  <c r="H105" i="1"/>
  <c r="H107" i="1"/>
  <c r="H62" i="1"/>
  <c r="H65" i="1"/>
  <c r="G74" i="1"/>
  <c r="G21" i="1"/>
  <c r="H127" i="1"/>
  <c r="H48" i="1"/>
  <c r="G82" i="1"/>
  <c r="H88" i="1"/>
  <c r="H20" i="1"/>
  <c r="G49" i="1"/>
  <c r="G65" i="1"/>
  <c r="H80" i="1"/>
  <c r="G70" i="1"/>
  <c r="G69" i="1"/>
  <c r="G105" i="1"/>
  <c r="H95" i="1"/>
  <c r="H33" i="1"/>
  <c r="G118" i="1"/>
  <c r="H34" i="1"/>
  <c r="G81" i="1"/>
  <c r="H103" i="1"/>
  <c r="H39" i="1"/>
  <c r="H108" i="1"/>
  <c r="G99" i="1"/>
  <c r="H36" i="1"/>
  <c r="G120" i="1"/>
  <c r="H58" i="1"/>
  <c r="G55" i="1"/>
  <c r="G9" i="1"/>
  <c r="G92" i="1"/>
  <c r="H75" i="1"/>
  <c r="H96" i="1"/>
  <c r="G86" i="1"/>
  <c r="H118" i="1"/>
  <c r="H73" i="1"/>
  <c r="G125" i="1"/>
  <c r="G127" i="1"/>
  <c r="G19" i="1"/>
  <c r="G67" i="1"/>
  <c r="G124" i="1"/>
  <c r="H44" i="1"/>
  <c r="H101" i="1"/>
  <c r="G78" i="1"/>
  <c r="H71" i="1"/>
  <c r="H30" i="1"/>
  <c r="H83" i="1"/>
  <c r="H79" i="1"/>
  <c r="G97" i="1"/>
  <c r="H93" i="1"/>
  <c r="H42" i="1"/>
  <c r="H89" i="1"/>
  <c r="H72" i="1"/>
  <c r="H114" i="1"/>
  <c r="G10" i="1"/>
  <c r="H9" i="1"/>
  <c r="H106" i="1"/>
  <c r="G50" i="1"/>
  <c r="G90" i="1"/>
  <c r="H59" i="1"/>
  <c r="G26" i="1"/>
  <c r="H90" i="1"/>
  <c r="H56" i="1"/>
  <c r="H26" i="1"/>
  <c r="H120" i="1"/>
  <c r="G103" i="1"/>
  <c r="G94" i="1"/>
  <c r="G41" i="1"/>
  <c r="H81" i="1"/>
  <c r="G114" i="1"/>
  <c r="G22" i="1"/>
  <c r="G20" i="1"/>
  <c r="G33" i="1"/>
  <c r="H61" i="1"/>
  <c r="G122" i="1"/>
  <c r="G111" i="1"/>
  <c r="H115" i="1"/>
  <c r="H122" i="1"/>
  <c r="H7" i="1"/>
  <c r="H85" i="1"/>
  <c r="H12" i="1"/>
  <c r="G98" i="1"/>
  <c r="G54" i="1"/>
  <c r="H5" i="1"/>
  <c r="H38" i="1"/>
  <c r="G45" i="1"/>
  <c r="G75" i="1"/>
  <c r="G95" i="1"/>
  <c r="H70" i="1"/>
  <c r="H10" i="1"/>
  <c r="G101" i="1"/>
  <c r="H53" i="1"/>
  <c r="G112" i="1"/>
  <c r="G48" i="1"/>
  <c r="G32" i="1"/>
  <c r="B201" i="8"/>
  <c r="C201" i="8"/>
  <c r="D201" i="8"/>
  <c r="F201" i="8"/>
  <c r="G203" i="3" a="1"/>
  <c r="G203" i="3"/>
  <c r="A203" i="8"/>
  <c r="E203" i="8"/>
  <c r="A202" i="8"/>
  <c r="E202" i="8"/>
  <c r="B202" i="8"/>
  <c r="C202" i="8"/>
  <c r="D202" i="8"/>
  <c r="F202" i="8"/>
  <c r="B203" i="8"/>
  <c r="C203" i="8"/>
  <c r="D203" i="8"/>
  <c r="F203" i="8"/>
  <c r="G204" i="3" a="1"/>
  <c r="G204" i="3"/>
  <c r="A204" i="8"/>
  <c r="E204" i="8"/>
  <c r="B204" i="8"/>
  <c r="C204" i="8"/>
  <c r="D204" i="8"/>
  <c r="F204" i="8"/>
  <c r="G205" i="3" a="1"/>
  <c r="G205" i="3"/>
  <c r="A205" i="8"/>
  <c r="E205" i="8"/>
  <c r="B205" i="8"/>
  <c r="C205" i="8"/>
  <c r="D205" i="8"/>
  <c r="F205" i="8"/>
  <c r="G206" i="3" a="1"/>
  <c r="G206" i="3"/>
  <c r="A206" i="8"/>
  <c r="E206" i="8"/>
  <c r="B206" i="8"/>
  <c r="C206" i="8"/>
  <c r="D206" i="8"/>
  <c r="F206" i="8"/>
  <c r="G207" i="3" a="1"/>
  <c r="G207" i="3"/>
  <c r="A207" i="8"/>
  <c r="E207" i="8"/>
  <c r="B207" i="8"/>
  <c r="C207" i="8"/>
  <c r="D207" i="8"/>
  <c r="F207" i="8"/>
  <c r="G208" i="3" a="1"/>
  <c r="G208" i="3"/>
  <c r="A208" i="8"/>
  <c r="E208" i="8"/>
  <c r="B208" i="8"/>
  <c r="C208" i="8"/>
  <c r="D208" i="8"/>
  <c r="F208" i="8"/>
  <c r="G209" i="3" a="1"/>
  <c r="G209" i="3"/>
  <c r="A209" i="8"/>
  <c r="E209" i="8"/>
  <c r="B209" i="8"/>
  <c r="C209" i="8"/>
  <c r="D209" i="8"/>
  <c r="F209" i="8"/>
  <c r="G210" i="3" a="1"/>
  <c r="G210" i="3"/>
  <c r="A210" i="8"/>
  <c r="E210" i="8"/>
  <c r="B210" i="8"/>
  <c r="C210" i="8"/>
  <c r="D210" i="8"/>
  <c r="F210" i="8"/>
  <c r="G211" i="3" a="1"/>
  <c r="G211" i="3"/>
  <c r="A211" i="8"/>
  <c r="E211" i="8"/>
  <c r="B211" i="8"/>
  <c r="C211" i="8"/>
  <c r="D211" i="8"/>
  <c r="F211" i="8"/>
  <c r="G212" i="3" a="1"/>
  <c r="G212" i="3"/>
  <c r="A212" i="8"/>
  <c r="E212" i="8"/>
  <c r="B212" i="8"/>
  <c r="C212" i="8"/>
  <c r="D212" i="8"/>
  <c r="F212" i="8"/>
  <c r="G213" i="3" a="1"/>
  <c r="G213" i="3"/>
  <c r="A213" i="8"/>
  <c r="E213" i="8"/>
  <c r="B213" i="8"/>
  <c r="C213" i="8"/>
  <c r="D213" i="8"/>
  <c r="F213" i="8"/>
  <c r="G214" i="3" a="1"/>
  <c r="G214" i="3"/>
  <c r="A214" i="8"/>
  <c r="E214" i="8"/>
  <c r="B214" i="8"/>
  <c r="C214" i="8"/>
  <c r="D214" i="8"/>
  <c r="F214" i="8"/>
  <c r="G215" i="3" a="1"/>
  <c r="G215" i="3"/>
  <c r="A215" i="8"/>
  <c r="E215" i="8"/>
  <c r="B215" i="8"/>
  <c r="C215" i="8"/>
  <c r="D215" i="8"/>
  <c r="F215" i="8"/>
  <c r="G216" i="3" a="1"/>
  <c r="G216" i="3"/>
  <c r="A216" i="8"/>
  <c r="E216" i="8"/>
  <c r="B216" i="8"/>
  <c r="C216" i="8"/>
  <c r="D216" i="8"/>
  <c r="F216" i="8"/>
  <c r="G217" i="3" a="1"/>
  <c r="G217" i="3"/>
  <c r="A217" i="8"/>
  <c r="E217" i="8"/>
  <c r="B217" i="8"/>
  <c r="C217" i="8"/>
  <c r="D217" i="8"/>
  <c r="F217" i="8"/>
  <c r="G218" i="3" a="1"/>
  <c r="G218" i="3"/>
  <c r="A218" i="8"/>
  <c r="E218" i="8"/>
  <c r="B218" i="8"/>
  <c r="C218" i="8"/>
  <c r="D218" i="8"/>
  <c r="F218" i="8"/>
  <c r="G219" i="3" a="1"/>
  <c r="G219" i="3"/>
  <c r="A219" i="8"/>
  <c r="E219" i="8"/>
  <c r="B219" i="8"/>
  <c r="C219" i="8"/>
  <c r="D219" i="8"/>
  <c r="F219" i="8"/>
  <c r="G220" i="3" a="1"/>
  <c r="G220" i="3"/>
  <c r="A220" i="8"/>
  <c r="E220" i="8"/>
  <c r="B220" i="8"/>
  <c r="C220" i="8"/>
  <c r="D220" i="8"/>
  <c r="F220" i="8"/>
  <c r="G221" i="3" a="1"/>
  <c r="G221" i="3"/>
  <c r="A221" i="8"/>
  <c r="E221" i="8"/>
  <c r="B221" i="8"/>
  <c r="C221" i="8"/>
  <c r="D221" i="8"/>
  <c r="F221" i="8"/>
  <c r="G222" i="3" a="1"/>
  <c r="G222" i="3"/>
  <c r="A222" i="8"/>
  <c r="E222" i="8"/>
  <c r="B222" i="8"/>
  <c r="C222" i="8"/>
  <c r="D222" i="8"/>
  <c r="F222" i="8"/>
  <c r="G223" i="3" a="1"/>
  <c r="G223" i="3"/>
  <c r="A223" i="8"/>
  <c r="E223" i="8"/>
  <c r="B223" i="8"/>
  <c r="C223" i="8"/>
  <c r="D223" i="8"/>
  <c r="F223" i="8"/>
  <c r="G224" i="3" a="1"/>
  <c r="G224" i="3"/>
  <c r="A224" i="8"/>
  <c r="E224" i="8"/>
  <c r="B224" i="8"/>
  <c r="C224" i="8"/>
  <c r="D224" i="8"/>
  <c r="F224" i="8"/>
  <c r="G225" i="3" a="1"/>
  <c r="G225" i="3"/>
  <c r="A225" i="8"/>
  <c r="E225" i="8"/>
  <c r="B225" i="8"/>
  <c r="C225" i="8"/>
  <c r="D225" i="8"/>
  <c r="F225" i="8"/>
  <c r="G226" i="3" a="1"/>
  <c r="G226" i="3"/>
  <c r="A226" i="8"/>
  <c r="E226" i="8"/>
  <c r="B226" i="8"/>
  <c r="C226" i="8"/>
  <c r="D226" i="8"/>
  <c r="F226" i="8"/>
  <c r="G227" i="3" a="1"/>
  <c r="G227" i="3"/>
  <c r="A227" i="8"/>
  <c r="E227" i="8"/>
  <c r="B227" i="8"/>
  <c r="C227" i="8"/>
  <c r="D227" i="8"/>
  <c r="F227" i="8"/>
  <c r="G228" i="3" a="1"/>
  <c r="G228" i="3"/>
  <c r="A228" i="8"/>
  <c r="E228" i="8"/>
  <c r="B228" i="8"/>
  <c r="C228" i="8"/>
  <c r="D228" i="8"/>
  <c r="F228" i="8"/>
  <c r="G229" i="3" a="1"/>
  <c r="G229" i="3"/>
  <c r="A229" i="8"/>
  <c r="E229" i="8"/>
  <c r="B229" i="8"/>
  <c r="C229" i="8"/>
  <c r="D229" i="8"/>
  <c r="F229" i="8"/>
  <c r="G230" i="3" a="1"/>
  <c r="G230" i="3"/>
  <c r="A230" i="8"/>
  <c r="E230" i="8"/>
  <c r="B230" i="8"/>
  <c r="C230" i="8"/>
  <c r="D230" i="8"/>
  <c r="F230" i="8"/>
  <c r="G231" i="3" a="1"/>
  <c r="G231" i="3"/>
  <c r="A231" i="8"/>
  <c r="E231" i="8"/>
  <c r="B231" i="8"/>
  <c r="C231" i="8"/>
  <c r="D231" i="8"/>
  <c r="F231" i="8"/>
  <c r="G232" i="3" a="1"/>
  <c r="G232" i="3"/>
  <c r="A232" i="8"/>
  <c r="E232" i="8"/>
  <c r="B232" i="8"/>
  <c r="C232" i="8"/>
  <c r="D232" i="8"/>
  <c r="F232" i="8"/>
  <c r="G233" i="3" a="1"/>
  <c r="G233" i="3"/>
  <c r="A233" i="8"/>
  <c r="E233" i="8"/>
  <c r="B233" i="8"/>
  <c r="C233" i="8"/>
  <c r="D233" i="8"/>
  <c r="F233" i="8"/>
  <c r="F41" i="1"/>
  <c r="F92" i="1"/>
  <c r="E116" i="1"/>
  <c r="E88" i="1"/>
  <c r="E98" i="1"/>
  <c r="F3" i="1"/>
  <c r="F13" i="1"/>
  <c r="E35" i="1"/>
  <c r="F118" i="1"/>
  <c r="E10" i="1"/>
  <c r="E48" i="1"/>
  <c r="E93" i="1"/>
  <c r="F69" i="1"/>
  <c r="E58" i="1"/>
  <c r="E46" i="1"/>
  <c r="F83" i="1"/>
  <c r="F2" i="1"/>
  <c r="F116" i="1"/>
  <c r="E9" i="1"/>
  <c r="E105" i="1"/>
  <c r="F53" i="1"/>
  <c r="F127" i="1"/>
  <c r="E18" i="1"/>
  <c r="E104" i="1"/>
  <c r="E89" i="1"/>
  <c r="E62" i="1"/>
  <c r="E47" i="1"/>
  <c r="E77" i="1"/>
  <c r="E95" i="1"/>
  <c r="E125" i="1"/>
  <c r="E86" i="1"/>
  <c r="F38" i="1"/>
  <c r="E90" i="1"/>
  <c r="F27" i="1"/>
  <c r="F110" i="1"/>
  <c r="F111" i="1"/>
  <c r="F78" i="1"/>
  <c r="E102" i="1"/>
  <c r="E97" i="1"/>
  <c r="F104" i="1"/>
  <c r="F115" i="1"/>
  <c r="F10" i="1"/>
  <c r="F84" i="1"/>
  <c r="E33" i="1"/>
  <c r="E50" i="1"/>
  <c r="E101" i="1"/>
  <c r="F77" i="1"/>
  <c r="E94" i="1"/>
  <c r="E30" i="1"/>
  <c r="F56" i="1"/>
  <c r="E67" i="1"/>
  <c r="F114" i="1"/>
  <c r="E120" i="1"/>
  <c r="F93" i="1"/>
  <c r="E43" i="1"/>
  <c r="E23" i="1"/>
  <c r="E83" i="1"/>
  <c r="F108" i="1"/>
  <c r="F103" i="1"/>
  <c r="F8" i="1"/>
  <c r="F81" i="1"/>
  <c r="E124" i="1"/>
  <c r="E74" i="1"/>
  <c r="F34" i="1"/>
  <c r="E52" i="1"/>
  <c r="F72" i="1"/>
  <c r="E65" i="1"/>
  <c r="F19" i="1"/>
  <c r="E78" i="1"/>
  <c r="F64" i="1"/>
  <c r="F22" i="1"/>
  <c r="F101" i="1"/>
  <c r="E34" i="1"/>
  <c r="F42" i="1"/>
  <c r="F67" i="1"/>
  <c r="F96" i="1"/>
  <c r="E81" i="1"/>
  <c r="F51" i="1"/>
  <c r="F70" i="1"/>
  <c r="E68" i="1"/>
  <c r="E57" i="1"/>
  <c r="F79" i="1"/>
  <c r="F39" i="1"/>
  <c r="F89" i="1"/>
  <c r="E111" i="1"/>
  <c r="F5" i="1"/>
  <c r="E123" i="1"/>
  <c r="E59" i="1"/>
  <c r="E106" i="1"/>
  <c r="F126" i="1"/>
  <c r="F20" i="1"/>
  <c r="E107" i="1"/>
  <c r="F71" i="1"/>
  <c r="F102" i="1"/>
  <c r="F82" i="1"/>
  <c r="E103" i="1"/>
  <c r="F119" i="1"/>
  <c r="F107" i="1"/>
  <c r="E87" i="1"/>
  <c r="E99" i="1"/>
  <c r="F100" i="1"/>
  <c r="F4" i="1"/>
  <c r="E31" i="1"/>
  <c r="F61" i="1"/>
  <c r="F62" i="1"/>
  <c r="E109" i="1"/>
  <c r="F120" i="1"/>
  <c r="F17" i="1"/>
  <c r="F95" i="1"/>
  <c r="E51" i="1"/>
  <c r="F75" i="1"/>
  <c r="E25" i="1"/>
  <c r="F124" i="1"/>
  <c r="F44" i="1"/>
  <c r="E26" i="1"/>
  <c r="E12" i="1"/>
  <c r="F98" i="1"/>
  <c r="F48" i="1"/>
  <c r="E115" i="1"/>
  <c r="F52" i="1"/>
  <c r="F11" i="1"/>
  <c r="F58" i="1"/>
  <c r="F91" i="1"/>
  <c r="F112" i="1"/>
  <c r="E114" i="1"/>
  <c r="F88" i="1"/>
  <c r="E100" i="1"/>
  <c r="F47" i="1"/>
  <c r="F117" i="1"/>
  <c r="E122" i="1"/>
  <c r="E84" i="1"/>
  <c r="F65" i="1"/>
  <c r="F35" i="1"/>
  <c r="E20" i="1"/>
  <c r="F94" i="1"/>
  <c r="E79" i="1"/>
  <c r="F9" i="1"/>
  <c r="F32" i="1"/>
  <c r="E32" i="1"/>
  <c r="E92" i="1"/>
  <c r="F73" i="1"/>
  <c r="E49" i="1"/>
  <c r="F26" i="1"/>
  <c r="F63" i="1"/>
  <c r="F12" i="1"/>
  <c r="F90" i="1"/>
  <c r="E96" i="1"/>
  <c r="E39" i="1"/>
  <c r="E108" i="1"/>
  <c r="E70" i="1"/>
  <c r="F97" i="1"/>
  <c r="F59" i="1"/>
  <c r="F87" i="1"/>
  <c r="F113" i="1"/>
  <c r="F24" i="1"/>
  <c r="E13" i="1"/>
  <c r="E19" i="1"/>
  <c r="E8" i="1"/>
  <c r="E45" i="1"/>
  <c r="F15" i="1"/>
  <c r="F80" i="1"/>
  <c r="F106" i="1"/>
  <c r="F36" i="1"/>
  <c r="E22" i="1"/>
  <c r="E127" i="1"/>
  <c r="E14" i="1"/>
  <c r="F55" i="1"/>
  <c r="E112" i="1"/>
  <c r="E55" i="1"/>
  <c r="F85" i="1"/>
  <c r="E21" i="1"/>
  <c r="F125" i="1"/>
  <c r="F43" i="1"/>
  <c r="F74" i="1"/>
  <c r="E91" i="1"/>
  <c r="E38" i="1"/>
  <c r="F86" i="1"/>
  <c r="E82" i="1"/>
  <c r="E75" i="1"/>
  <c r="E54" i="1"/>
  <c r="F122" i="1"/>
  <c r="F16" i="1"/>
  <c r="E7" i="1"/>
  <c r="E64" i="1"/>
  <c r="F30" i="1"/>
  <c r="E69" i="1"/>
  <c r="E41" i="1"/>
  <c r="E17" i="1"/>
  <c r="E113" i="1"/>
  <c r="E118" i="1"/>
  <c r="F6" i="1"/>
  <c r="F105" i="1"/>
  <c r="E27" i="1"/>
  <c r="F33" i="1"/>
  <c r="F7" i="1"/>
  <c r="E85" i="1"/>
  <c r="E117" i="1"/>
  <c r="H233" i="3"/>
  <c r="I233" i="3"/>
  <c r="J233" i="3"/>
  <c r="H232" i="3"/>
  <c r="I232" i="3"/>
  <c r="J232" i="3"/>
  <c r="H231" i="3"/>
  <c r="I231" i="3"/>
  <c r="J231" i="3"/>
  <c r="H230" i="3"/>
  <c r="I230" i="3"/>
  <c r="J230" i="3"/>
  <c r="H229" i="3"/>
  <c r="I229" i="3"/>
  <c r="J229" i="3"/>
  <c r="H228" i="3"/>
  <c r="I228" i="3"/>
  <c r="J228" i="3"/>
  <c r="H227" i="3"/>
  <c r="I227" i="3"/>
  <c r="J227" i="3"/>
  <c r="H226" i="3"/>
  <c r="I226" i="3"/>
  <c r="J226" i="3"/>
  <c r="H225" i="3"/>
  <c r="I225" i="3"/>
  <c r="J225" i="3"/>
  <c r="H224" i="3"/>
  <c r="I224" i="3"/>
  <c r="J224" i="3"/>
  <c r="H223" i="3"/>
  <c r="I223" i="3"/>
  <c r="J223" i="3"/>
  <c r="H222" i="3"/>
  <c r="I222" i="3"/>
  <c r="J222" i="3"/>
  <c r="H221" i="3"/>
  <c r="I221" i="3"/>
  <c r="J221" i="3"/>
  <c r="H220" i="3"/>
  <c r="I220" i="3"/>
  <c r="J220" i="3"/>
  <c r="H219" i="3"/>
  <c r="I219" i="3"/>
  <c r="J219" i="3"/>
  <c r="H218" i="3"/>
  <c r="I218" i="3"/>
  <c r="J218" i="3"/>
  <c r="H217" i="3"/>
  <c r="I217" i="3"/>
  <c r="J217" i="3"/>
  <c r="H216" i="3"/>
  <c r="I216" i="3"/>
  <c r="J216" i="3"/>
  <c r="H215" i="3"/>
  <c r="I215" i="3"/>
  <c r="J215" i="3"/>
  <c r="H214" i="3"/>
  <c r="I214" i="3"/>
  <c r="J214" i="3"/>
  <c r="H213" i="3"/>
  <c r="I213" i="3"/>
  <c r="J213" i="3"/>
  <c r="H212" i="3"/>
  <c r="I212" i="3"/>
  <c r="J212" i="3"/>
  <c r="H211" i="3"/>
  <c r="I211" i="3"/>
  <c r="J211" i="3"/>
  <c r="H210" i="3"/>
  <c r="I210" i="3"/>
  <c r="J210" i="3"/>
  <c r="H209" i="3"/>
  <c r="I209" i="3"/>
  <c r="J209" i="3"/>
  <c r="H208" i="3"/>
  <c r="I208" i="3"/>
  <c r="J208" i="3"/>
  <c r="H207" i="3"/>
  <c r="I207" i="3"/>
  <c r="J207" i="3"/>
  <c r="H206" i="3"/>
  <c r="I206" i="3"/>
  <c r="J206" i="3"/>
  <c r="H205" i="3"/>
  <c r="I205" i="3"/>
  <c r="J205" i="3"/>
  <c r="H204" i="3"/>
  <c r="I204" i="3"/>
  <c r="J204" i="3"/>
  <c r="H203" i="3"/>
  <c r="I203" i="3"/>
  <c r="J203" i="3"/>
  <c r="H202" i="3"/>
  <c r="I202" i="3"/>
  <c r="J202" i="3"/>
  <c r="H201" i="3"/>
  <c r="I201" i="3"/>
  <c r="J201" i="3"/>
  <c r="H200" i="3"/>
  <c r="I200" i="3"/>
  <c r="J200" i="3"/>
  <c r="H199" i="3"/>
  <c r="I199" i="3"/>
  <c r="J199" i="3"/>
  <c r="H198" i="3"/>
  <c r="I198" i="3"/>
  <c r="J198" i="3"/>
  <c r="H197" i="3"/>
  <c r="I197" i="3"/>
  <c r="J197" i="3"/>
  <c r="H196" i="3"/>
  <c r="I196" i="3"/>
  <c r="J196" i="3"/>
  <c r="H195" i="3"/>
  <c r="I195" i="3"/>
  <c r="J195" i="3"/>
  <c r="H194" i="3"/>
  <c r="I194" i="3"/>
  <c r="J194" i="3"/>
  <c r="H193" i="3"/>
  <c r="I193" i="3"/>
  <c r="J193" i="3"/>
  <c r="H192" i="3"/>
  <c r="I192" i="3"/>
  <c r="J192" i="3"/>
  <c r="H191" i="3"/>
  <c r="I191" i="3"/>
  <c r="J191" i="3"/>
  <c r="H190" i="3"/>
  <c r="I190" i="3"/>
  <c r="J190" i="3"/>
  <c r="H189" i="3"/>
  <c r="I189" i="3"/>
  <c r="J189" i="3"/>
  <c r="H188" i="3"/>
  <c r="I188" i="3"/>
  <c r="J188" i="3"/>
  <c r="H187" i="3"/>
  <c r="I187" i="3"/>
  <c r="J187" i="3"/>
  <c r="H186" i="3"/>
  <c r="I186" i="3"/>
  <c r="J186" i="3"/>
  <c r="H185" i="3"/>
  <c r="I185" i="3"/>
  <c r="J185" i="3"/>
  <c r="H184" i="3"/>
  <c r="I184" i="3"/>
  <c r="J184" i="3"/>
  <c r="H183" i="3"/>
  <c r="I183" i="3"/>
  <c r="J183" i="3"/>
  <c r="H182" i="3"/>
  <c r="I182" i="3"/>
  <c r="J182" i="3"/>
  <c r="H181" i="3"/>
  <c r="I181" i="3"/>
  <c r="J181" i="3"/>
  <c r="H180" i="3"/>
  <c r="I180" i="3"/>
  <c r="J180" i="3"/>
  <c r="H179" i="3"/>
  <c r="I179" i="3"/>
  <c r="J179" i="3"/>
  <c r="H178" i="3"/>
  <c r="I178" i="3"/>
  <c r="J178" i="3"/>
  <c r="H177" i="3"/>
  <c r="I177" i="3"/>
  <c r="J177" i="3"/>
  <c r="H176" i="3"/>
  <c r="I176" i="3"/>
  <c r="J176" i="3"/>
  <c r="H175" i="3"/>
  <c r="I175" i="3"/>
  <c r="J175" i="3"/>
  <c r="H174" i="3"/>
  <c r="I174" i="3"/>
  <c r="J174" i="3"/>
  <c r="H173" i="3"/>
  <c r="I173" i="3"/>
  <c r="J173" i="3"/>
  <c r="H172" i="3"/>
  <c r="I172" i="3"/>
  <c r="J172" i="3"/>
  <c r="H171" i="3"/>
  <c r="I171" i="3"/>
  <c r="J171" i="3"/>
  <c r="H170" i="3"/>
  <c r="I170" i="3"/>
  <c r="J170" i="3"/>
  <c r="H169" i="3"/>
  <c r="I169" i="3"/>
  <c r="J169" i="3"/>
  <c r="H168" i="3"/>
  <c r="I168" i="3"/>
  <c r="J168" i="3"/>
  <c r="H167" i="3"/>
  <c r="I167" i="3"/>
  <c r="J167" i="3"/>
  <c r="H166" i="3"/>
  <c r="I166" i="3"/>
  <c r="J166" i="3"/>
  <c r="H165" i="3"/>
  <c r="I165" i="3"/>
  <c r="J165" i="3"/>
  <c r="H164" i="3"/>
  <c r="I164" i="3"/>
  <c r="J164" i="3"/>
  <c r="H163" i="3"/>
  <c r="I163" i="3"/>
  <c r="J163" i="3"/>
  <c r="H162" i="3"/>
  <c r="I162" i="3"/>
  <c r="J162" i="3"/>
  <c r="H161" i="3"/>
  <c r="I161" i="3"/>
  <c r="J161" i="3"/>
  <c r="H160" i="3"/>
  <c r="I160" i="3"/>
  <c r="J160" i="3"/>
  <c r="H159" i="3"/>
  <c r="I159" i="3"/>
  <c r="J159" i="3"/>
  <c r="H158" i="3"/>
  <c r="I158" i="3"/>
  <c r="J158" i="3"/>
  <c r="H157" i="3"/>
  <c r="I157" i="3"/>
  <c r="J157" i="3"/>
  <c r="H156" i="3"/>
  <c r="I156" i="3"/>
  <c r="J156" i="3"/>
  <c r="H155" i="3"/>
  <c r="I155" i="3"/>
  <c r="J155" i="3"/>
  <c r="H154" i="3"/>
  <c r="I154" i="3"/>
  <c r="J154" i="3"/>
  <c r="H153" i="3"/>
  <c r="I153" i="3"/>
  <c r="J153" i="3"/>
  <c r="H152" i="3"/>
  <c r="I152" i="3"/>
  <c r="J152" i="3"/>
  <c r="H151" i="3"/>
  <c r="I151" i="3"/>
  <c r="J151" i="3"/>
  <c r="H150" i="3"/>
  <c r="I150" i="3"/>
  <c r="J150" i="3"/>
  <c r="H149" i="3"/>
  <c r="I149" i="3"/>
  <c r="J149" i="3"/>
  <c r="H148" i="3"/>
  <c r="I148" i="3"/>
  <c r="J148" i="3"/>
  <c r="H147" i="3"/>
  <c r="I147" i="3"/>
  <c r="J147" i="3"/>
  <c r="H146" i="3"/>
  <c r="I146" i="3"/>
  <c r="J146" i="3"/>
  <c r="H145" i="3"/>
  <c r="I145" i="3"/>
  <c r="J145" i="3"/>
  <c r="H144" i="3"/>
  <c r="I144" i="3"/>
  <c r="J144" i="3"/>
  <c r="H143" i="3"/>
  <c r="I143" i="3"/>
  <c r="J143" i="3"/>
  <c r="H142" i="3"/>
  <c r="I142" i="3"/>
  <c r="J142" i="3"/>
  <c r="H141" i="3"/>
  <c r="I141" i="3"/>
  <c r="J141" i="3"/>
  <c r="H140" i="3"/>
  <c r="I140" i="3"/>
  <c r="J140" i="3"/>
  <c r="H139" i="3"/>
  <c r="I139" i="3"/>
  <c r="J139" i="3"/>
  <c r="H138" i="3"/>
  <c r="I138" i="3"/>
  <c r="J138" i="3"/>
  <c r="H137" i="3"/>
  <c r="I137" i="3"/>
  <c r="J137" i="3"/>
  <c r="H136" i="3"/>
  <c r="I136" i="3"/>
  <c r="J136" i="3"/>
  <c r="H135" i="3"/>
  <c r="I135" i="3"/>
  <c r="J135" i="3"/>
  <c r="H134" i="3"/>
  <c r="I134" i="3"/>
  <c r="J134" i="3"/>
  <c r="H133" i="3"/>
  <c r="I133" i="3"/>
  <c r="J133" i="3"/>
  <c r="H132" i="3"/>
  <c r="I132" i="3"/>
  <c r="J132" i="3"/>
  <c r="H131" i="3"/>
  <c r="I131" i="3"/>
  <c r="J131" i="3"/>
  <c r="H130" i="3"/>
  <c r="I130" i="3"/>
  <c r="J130" i="3"/>
  <c r="H129" i="3"/>
  <c r="I129" i="3"/>
  <c r="J129" i="3"/>
  <c r="H128" i="3"/>
  <c r="I128" i="3"/>
  <c r="J128" i="3"/>
  <c r="H127" i="3"/>
  <c r="I127" i="3"/>
  <c r="J127" i="3"/>
  <c r="H126" i="3"/>
  <c r="I126" i="3"/>
  <c r="J126" i="3"/>
  <c r="H125" i="3"/>
  <c r="I125" i="3"/>
  <c r="J125" i="3"/>
  <c r="H124" i="3"/>
  <c r="I124" i="3"/>
  <c r="J124" i="3"/>
  <c r="H123" i="3"/>
  <c r="I123" i="3"/>
  <c r="J123" i="3"/>
  <c r="H122" i="3"/>
  <c r="I122" i="3"/>
  <c r="J122" i="3"/>
  <c r="H121" i="3"/>
  <c r="I121" i="3"/>
  <c r="J121" i="3"/>
  <c r="H120" i="3"/>
  <c r="I120" i="3"/>
  <c r="J120" i="3"/>
  <c r="H119" i="3"/>
  <c r="I119" i="3"/>
  <c r="J119" i="3"/>
  <c r="H118" i="3"/>
  <c r="I118" i="3"/>
  <c r="J118" i="3"/>
  <c r="H117" i="3"/>
  <c r="I117" i="3"/>
  <c r="J117" i="3"/>
  <c r="H116" i="3"/>
  <c r="I116" i="3"/>
  <c r="J116" i="3"/>
  <c r="H115" i="3"/>
  <c r="I115" i="3"/>
  <c r="J115" i="3"/>
  <c r="H113" i="3"/>
  <c r="I113" i="3"/>
  <c r="J113" i="3"/>
  <c r="H111" i="3"/>
  <c r="I111" i="3"/>
  <c r="J111" i="3"/>
  <c r="H110" i="3"/>
  <c r="I110" i="3"/>
  <c r="J110" i="3"/>
  <c r="H109" i="3"/>
  <c r="I109" i="3"/>
  <c r="J109" i="3"/>
  <c r="H108" i="3"/>
  <c r="I108" i="3"/>
  <c r="J108" i="3"/>
  <c r="H107" i="3"/>
  <c r="I107" i="3"/>
  <c r="J107" i="3"/>
  <c r="H106" i="3"/>
  <c r="I106" i="3"/>
  <c r="J106" i="3"/>
  <c r="H105" i="3"/>
  <c r="I105" i="3"/>
  <c r="J105" i="3"/>
  <c r="H104" i="3"/>
  <c r="I104" i="3"/>
  <c r="J104" i="3"/>
  <c r="H103" i="3"/>
  <c r="I103" i="3"/>
  <c r="J103" i="3"/>
  <c r="H102" i="3"/>
  <c r="I102" i="3"/>
  <c r="J102" i="3"/>
  <c r="H101" i="3"/>
  <c r="I101" i="3"/>
  <c r="J101" i="3"/>
  <c r="H100" i="3"/>
  <c r="I100" i="3"/>
  <c r="J100" i="3"/>
  <c r="H99" i="3"/>
  <c r="I99" i="3"/>
  <c r="J99" i="3"/>
  <c r="H97" i="3"/>
  <c r="I97" i="3"/>
  <c r="J97" i="3"/>
  <c r="H96" i="3"/>
  <c r="I96" i="3"/>
  <c r="J96" i="3"/>
  <c r="H95" i="3"/>
  <c r="I95" i="3"/>
  <c r="J95" i="3"/>
  <c r="H94" i="3"/>
  <c r="I94" i="3"/>
  <c r="J94" i="3"/>
  <c r="H93" i="3"/>
  <c r="I93" i="3"/>
  <c r="J93" i="3"/>
  <c r="H92" i="3"/>
  <c r="I92" i="3"/>
  <c r="J92" i="3"/>
  <c r="H91" i="3"/>
  <c r="I91" i="3"/>
  <c r="J91" i="3"/>
  <c r="H90" i="3"/>
  <c r="I90" i="3"/>
  <c r="J90" i="3"/>
  <c r="H89" i="3"/>
  <c r="I89" i="3"/>
  <c r="J89" i="3"/>
  <c r="H88" i="3"/>
  <c r="I88" i="3"/>
  <c r="J88" i="3"/>
  <c r="H87" i="3"/>
  <c r="I87" i="3"/>
  <c r="J87" i="3"/>
  <c r="H86" i="3"/>
  <c r="I86" i="3"/>
  <c r="J86" i="3"/>
  <c r="H85" i="3"/>
  <c r="I85" i="3"/>
  <c r="J85" i="3"/>
  <c r="H84" i="3"/>
  <c r="I84" i="3"/>
  <c r="J84" i="3"/>
  <c r="H83" i="3"/>
  <c r="I83" i="3"/>
  <c r="J83" i="3"/>
  <c r="H82" i="3"/>
  <c r="I82" i="3"/>
  <c r="J82" i="3"/>
  <c r="H81" i="3"/>
  <c r="I81" i="3"/>
  <c r="J81" i="3"/>
  <c r="H80" i="3"/>
  <c r="I80" i="3"/>
  <c r="J80" i="3"/>
  <c r="H79" i="3"/>
  <c r="I79" i="3"/>
  <c r="J79" i="3"/>
  <c r="H78" i="3"/>
  <c r="I78" i="3"/>
  <c r="J78" i="3"/>
  <c r="H77" i="3"/>
  <c r="I77" i="3"/>
  <c r="J77" i="3"/>
  <c r="H76" i="3"/>
  <c r="I76" i="3"/>
  <c r="J76" i="3"/>
  <c r="H75" i="3"/>
  <c r="I75" i="3"/>
  <c r="J75" i="3"/>
  <c r="H74" i="3"/>
  <c r="I74" i="3"/>
  <c r="J74" i="3"/>
  <c r="H73" i="3"/>
  <c r="I73" i="3"/>
  <c r="J73" i="3"/>
  <c r="H72" i="3"/>
  <c r="I72" i="3"/>
  <c r="J72" i="3"/>
  <c r="H71" i="3"/>
  <c r="I71" i="3"/>
  <c r="J71" i="3"/>
  <c r="H70" i="3"/>
  <c r="I70" i="3"/>
  <c r="J70" i="3"/>
  <c r="H69" i="3"/>
  <c r="I69" i="3"/>
  <c r="J69" i="3"/>
  <c r="H68" i="3"/>
  <c r="I68" i="3"/>
  <c r="J68" i="3"/>
  <c r="H67" i="3"/>
  <c r="I67" i="3"/>
  <c r="J67" i="3"/>
  <c r="H66" i="3"/>
  <c r="I66" i="3"/>
  <c r="J66" i="3"/>
  <c r="H65" i="3"/>
  <c r="I65" i="3"/>
  <c r="J65" i="3"/>
  <c r="H64" i="3"/>
  <c r="I64" i="3"/>
  <c r="J64" i="3"/>
  <c r="H63" i="3"/>
  <c r="I63" i="3"/>
  <c r="J63" i="3"/>
  <c r="H62" i="3"/>
  <c r="I62" i="3"/>
  <c r="J62" i="3"/>
  <c r="H61" i="3"/>
  <c r="I61" i="3"/>
  <c r="J61" i="3"/>
  <c r="H60" i="3"/>
  <c r="I60" i="3"/>
  <c r="J60" i="3"/>
  <c r="H59" i="3"/>
  <c r="I59" i="3"/>
  <c r="J59" i="3"/>
  <c r="H58" i="3"/>
  <c r="I58" i="3"/>
  <c r="J58" i="3"/>
  <c r="H57" i="3"/>
  <c r="I57" i="3"/>
  <c r="J57" i="3"/>
  <c r="H56" i="3"/>
  <c r="I56" i="3"/>
  <c r="J56" i="3"/>
  <c r="H55" i="3"/>
  <c r="I55" i="3"/>
  <c r="J55" i="3"/>
  <c r="H54" i="3"/>
  <c r="I54" i="3"/>
  <c r="J54" i="3"/>
  <c r="H53" i="3"/>
  <c r="I53" i="3"/>
  <c r="J53" i="3"/>
  <c r="H52" i="3"/>
  <c r="I52" i="3"/>
  <c r="J52" i="3"/>
  <c r="H51" i="3"/>
  <c r="I51" i="3"/>
  <c r="J51" i="3"/>
  <c r="H50" i="3"/>
  <c r="I50" i="3"/>
  <c r="J50" i="3"/>
  <c r="H49" i="3"/>
  <c r="I49" i="3"/>
  <c r="J49" i="3"/>
  <c r="H48" i="3"/>
  <c r="I48" i="3"/>
  <c r="J48" i="3"/>
  <c r="H47" i="3"/>
  <c r="I47" i="3"/>
  <c r="J47" i="3"/>
  <c r="H46" i="3"/>
  <c r="I46" i="3"/>
  <c r="J46" i="3"/>
  <c r="H45" i="3"/>
  <c r="I45" i="3"/>
  <c r="J45" i="3"/>
  <c r="H44" i="3"/>
  <c r="I44" i="3"/>
  <c r="J44" i="3"/>
  <c r="H43" i="3"/>
  <c r="I43" i="3"/>
  <c r="J43" i="3"/>
  <c r="H42" i="3"/>
  <c r="I42" i="3"/>
  <c r="J42" i="3"/>
  <c r="H41" i="3"/>
  <c r="I41" i="3"/>
  <c r="J41" i="3"/>
  <c r="H40" i="3"/>
  <c r="I40" i="3"/>
  <c r="J40" i="3"/>
  <c r="H39" i="3"/>
  <c r="I39" i="3"/>
  <c r="J39" i="3"/>
  <c r="H38" i="3"/>
  <c r="I38" i="3"/>
  <c r="J38" i="3"/>
  <c r="H37" i="3"/>
  <c r="I37" i="3"/>
  <c r="J37" i="3"/>
  <c r="H36" i="3"/>
  <c r="I36" i="3"/>
  <c r="J36" i="3"/>
  <c r="H35" i="3"/>
  <c r="I35" i="3"/>
  <c r="J35" i="3"/>
  <c r="H34" i="3"/>
  <c r="I34" i="3"/>
  <c r="J34" i="3"/>
  <c r="H33" i="3"/>
  <c r="I33" i="3"/>
  <c r="J33" i="3"/>
  <c r="H32" i="3"/>
  <c r="I32" i="3"/>
  <c r="J32" i="3"/>
  <c r="H31" i="3"/>
  <c r="I31" i="3"/>
  <c r="J31" i="3"/>
  <c r="H30" i="3"/>
  <c r="I30" i="3"/>
  <c r="J30" i="3"/>
  <c r="H29" i="3"/>
  <c r="I29" i="3"/>
  <c r="J29" i="3"/>
  <c r="H28" i="3"/>
  <c r="I28" i="3"/>
  <c r="J28" i="3"/>
  <c r="H27" i="3"/>
  <c r="I27" i="3"/>
  <c r="J27" i="3"/>
  <c r="H26" i="3"/>
  <c r="I26" i="3"/>
  <c r="J26" i="3"/>
  <c r="H25" i="3"/>
  <c r="I25" i="3"/>
  <c r="J25" i="3"/>
  <c r="H24" i="3"/>
  <c r="I24" i="3"/>
  <c r="J24" i="3"/>
  <c r="H23" i="3"/>
  <c r="I23" i="3"/>
  <c r="J23" i="3"/>
  <c r="H112" i="3"/>
  <c r="I112" i="3"/>
  <c r="J112" i="3"/>
  <c r="H114" i="3"/>
  <c r="I114" i="3"/>
  <c r="J114" i="3"/>
  <c r="H98" i="3"/>
  <c r="I98" i="3"/>
  <c r="J98" i="3"/>
  <c r="E8" i="8"/>
</calcChain>
</file>

<file path=xl/sharedStrings.xml><?xml version="1.0" encoding="utf-8"?>
<sst xmlns="http://schemas.openxmlformats.org/spreadsheetml/2006/main" count="355" uniqueCount="47">
  <si>
    <t>W Team</t>
  </si>
  <si>
    <t>W Score</t>
  </si>
  <si>
    <t>L Team</t>
  </si>
  <si>
    <t>L Score</t>
  </si>
  <si>
    <t>Team</t>
  </si>
  <si>
    <t>WP</t>
  </si>
  <si>
    <t>OWP</t>
  </si>
  <si>
    <t>OOWP</t>
  </si>
  <si>
    <t>RPI</t>
  </si>
  <si>
    <t>Count of L Team</t>
  </si>
  <si>
    <t>Count of W Team</t>
  </si>
  <si>
    <t>Row Labels</t>
  </si>
  <si>
    <t>Wins</t>
  </si>
  <si>
    <t>Losses</t>
  </si>
  <si>
    <t>W WP</t>
  </si>
  <si>
    <t>L WP</t>
  </si>
  <si>
    <t>Average of L WP</t>
  </si>
  <si>
    <t>Sum of G * W WP</t>
  </si>
  <si>
    <t>Sum of G * L WP</t>
  </si>
  <si>
    <t>Average of W WP</t>
  </si>
  <si>
    <t>W OWP</t>
  </si>
  <si>
    <t>L OWP</t>
  </si>
  <si>
    <t>TEAM</t>
  </si>
  <si>
    <t>Games Played</t>
  </si>
  <si>
    <t>RPI1</t>
  </si>
  <si>
    <t>Games</t>
  </si>
  <si>
    <t>Sum of L OWP</t>
  </si>
  <si>
    <t>(blank)</t>
  </si>
  <si>
    <t>West Texas</t>
  </si>
  <si>
    <t>Minnesota A&amp;M</t>
  </si>
  <si>
    <t>Deutschtown</t>
  </si>
  <si>
    <t>Redmond</t>
  </si>
  <si>
    <t>Southern Atlantic</t>
  </si>
  <si>
    <t>Erie Tech</t>
  </si>
  <si>
    <t>Calvert</t>
  </si>
  <si>
    <t>Bloom State</t>
  </si>
  <si>
    <t>Irvington</t>
  </si>
  <si>
    <t>UW Lower Columbia</t>
  </si>
  <si>
    <t>Kentucky Tech</t>
  </si>
  <si>
    <t>Coastal California</t>
  </si>
  <si>
    <t>Lakeshore</t>
  </si>
  <si>
    <t>Continental</t>
  </si>
  <si>
    <t>California A&amp;M</t>
  </si>
  <si>
    <t>Dennison State</t>
  </si>
  <si>
    <t>UC Long Beach</t>
  </si>
  <si>
    <t>Golden Isles</t>
  </si>
  <si>
    <t>irvington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</si>
</sst>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AB067"/>
        <bgColor rgb="FF000000"/>
      </patternFill>
    </fill>
    <fill>
      <patternFill patternType="solid">
        <fgColor rgb="FFD0B671"/>
        <bgColor rgb="FF000000"/>
      </patternFill>
    </fill>
    <fill>
      <patternFill patternType="solid">
        <fgColor rgb="FFC3B874"/>
        <bgColor rgb="FF000000"/>
      </patternFill>
    </fill>
    <fill>
      <patternFill patternType="solid">
        <fgColor rgb="FFA6BD7B"/>
        <bgColor rgb="FF000000"/>
      </patternFill>
    </fill>
    <fill>
      <patternFill patternType="solid">
        <fgColor rgb="FF8EC081"/>
        <bgColor rgb="FF000000"/>
      </patternFill>
    </fill>
    <fill>
      <patternFill patternType="solid">
        <fgColor rgb="FF92C080"/>
        <bgColor rgb="FF000000"/>
      </patternFill>
    </fill>
    <fill>
      <patternFill patternType="solid">
        <fgColor rgb="FFA8BC7B"/>
        <bgColor rgb="FF000000"/>
      </patternFill>
    </fill>
    <fill>
      <patternFill patternType="solid">
        <fgColor rgb="FF90C081"/>
        <bgColor rgb="FF000000"/>
      </patternFill>
    </fill>
    <fill>
      <patternFill patternType="solid">
        <fgColor rgb="FFB3BB78"/>
        <bgColor rgb="FF000000"/>
      </patternFill>
    </fill>
    <fill>
      <patternFill patternType="solid">
        <fgColor rgb="FF97BF7F"/>
        <bgColor rgb="FF000000"/>
      </patternFill>
    </fill>
    <fill>
      <patternFill patternType="solid">
        <fgColor rgb="FFAFBB79"/>
        <bgColor rgb="FF000000"/>
      </patternFill>
    </fill>
    <fill>
      <patternFill patternType="solid">
        <fgColor rgb="FFF3B168"/>
        <bgColor rgb="FF000000"/>
      </patternFill>
    </fill>
    <fill>
      <patternFill patternType="solid">
        <fgColor rgb="FFADBC7A"/>
        <bgColor rgb="FF000000"/>
      </patternFill>
    </fill>
    <fill>
      <patternFill patternType="solid">
        <fgColor rgb="FFF7B067"/>
        <bgColor rgb="FF000000"/>
      </patternFill>
    </fill>
    <fill>
      <patternFill patternType="solid">
        <fgColor rgb="FFABBC7A"/>
        <bgColor rgb="FF000000"/>
      </patternFill>
    </fill>
    <fill>
      <patternFill patternType="solid">
        <fgColor rgb="FFF9B067"/>
        <bgColor rgb="FF000000"/>
      </patternFill>
    </fill>
    <fill>
      <patternFill patternType="solid">
        <fgColor rgb="FF9BBE7E"/>
        <bgColor rgb="FF000000"/>
      </patternFill>
    </fill>
    <fill>
      <patternFill patternType="solid">
        <fgColor rgb="FF9DBE7E"/>
        <bgColor rgb="FF000000"/>
      </patternFill>
    </fill>
    <fill>
      <patternFill patternType="solid">
        <fgColor rgb="FF8DC182"/>
        <bgColor rgb="FF000000"/>
      </patternFill>
    </fill>
    <fill>
      <patternFill patternType="solid">
        <fgColor rgb="FFDDB46E"/>
        <bgColor rgb="FF000000"/>
      </patternFill>
    </fill>
    <fill>
      <patternFill patternType="solid">
        <fgColor rgb="FFD9B56F"/>
        <bgColor rgb="FF000000"/>
      </patternFill>
    </fill>
    <fill>
      <patternFill patternType="solid">
        <fgColor rgb="FFB5BA78"/>
        <bgColor rgb="FF000000"/>
      </patternFill>
    </fill>
    <fill>
      <patternFill patternType="solid">
        <fgColor rgb="FFBEB975"/>
        <bgColor rgb="FF000000"/>
      </patternFill>
    </fill>
    <fill>
      <patternFill patternType="solid">
        <fgColor rgb="FFBABA77"/>
        <bgColor rgb="FF000000"/>
      </patternFill>
    </fill>
    <fill>
      <patternFill patternType="solid">
        <fgColor rgb="FFC5B874"/>
        <bgColor rgb="FF000000"/>
      </patternFill>
    </fill>
    <fill>
      <patternFill patternType="solid">
        <fgColor rgb="FFC7B873"/>
        <bgColor rgb="FF000000"/>
      </patternFill>
    </fill>
    <fill>
      <patternFill patternType="solid">
        <fgColor rgb="FFECB26A"/>
        <bgColor rgb="FF000000"/>
      </patternFill>
    </fill>
    <fill>
      <patternFill patternType="solid">
        <fgColor rgb="FFB1BB79"/>
        <bgColor rgb="FF000000"/>
      </patternFill>
    </fill>
    <fill>
      <patternFill patternType="solid">
        <fgColor rgb="FFEAB26B"/>
        <bgColor rgb="FF000000"/>
      </patternFill>
    </fill>
    <fill>
      <patternFill patternType="solid">
        <fgColor rgb="FFE6B36C"/>
        <bgColor rgb="FF000000"/>
      </patternFill>
    </fill>
    <fill>
      <patternFill patternType="solid">
        <fgColor rgb="FF99BF7F"/>
        <bgColor rgb="FF000000"/>
      </patternFill>
    </fill>
    <fill>
      <patternFill patternType="solid">
        <fgColor rgb="FFA4BD7C"/>
        <bgColor rgb="FF000000"/>
      </patternFill>
    </fill>
    <fill>
      <patternFill patternType="solid">
        <fgColor rgb="FFA2BD7C"/>
        <bgColor rgb="FF000000"/>
      </patternFill>
    </fill>
    <fill>
      <patternFill patternType="solid">
        <fgColor rgb="FF95BF80"/>
        <bgColor rgb="FF000000"/>
      </patternFill>
    </fill>
    <fill>
      <patternFill patternType="solid">
        <fgColor rgb="FFCEB772"/>
        <bgColor rgb="FF000000"/>
      </patternFill>
    </fill>
  </fills>
  <borders count="3">
    <border>
      <left/>
      <right/>
      <top/>
      <bottom/>
      <diagonal/>
    </border>
    <border>
      <left style="thin">
        <color rgb="FF604878"/>
      </left>
      <right/>
      <top style="thin">
        <color rgb="FF604878"/>
      </top>
      <bottom/>
      <diagonal/>
    </border>
    <border>
      <left/>
      <right/>
      <top style="thin">
        <color rgb="FF604878"/>
      </top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applyProtection="1">
      <protection locked="0"/>
    </xf>
    <xf numFmtId="0" fontId="5" fillId="0" borderId="1" xfId="0" applyFont="1" applyBorder="1"/>
    <xf numFmtId="0" fontId="5" fillId="0" borderId="2" xfId="0" applyFont="1" applyBorder="1"/>
    <xf numFmtId="0" fontId="5" fillId="2" borderId="2" xfId="0" applyFont="1" applyFill="1" applyBorder="1"/>
    <xf numFmtId="0" fontId="5" fillId="3" borderId="2" xfId="0" applyFont="1" applyFill="1" applyBorder="1"/>
    <xf numFmtId="0" fontId="5" fillId="4" borderId="2" xfId="0" applyFont="1" applyFill="1" applyBorder="1"/>
    <xf numFmtId="0" fontId="5" fillId="5" borderId="2" xfId="0" applyFont="1" applyFill="1" applyBorder="1"/>
    <xf numFmtId="0" fontId="5" fillId="6" borderId="2" xfId="0" applyFont="1" applyFill="1" applyBorder="1"/>
    <xf numFmtId="0" fontId="5" fillId="7" borderId="2" xfId="0" applyFont="1" applyFill="1" applyBorder="1"/>
    <xf numFmtId="0" fontId="5" fillId="8" borderId="2" xfId="0" applyFont="1" applyFill="1" applyBorder="1"/>
    <xf numFmtId="0" fontId="5" fillId="9" borderId="2" xfId="0" applyFont="1" applyFill="1" applyBorder="1"/>
    <xf numFmtId="0" fontId="5" fillId="10" borderId="2" xfId="0" applyFont="1" applyFill="1" applyBorder="1"/>
    <xf numFmtId="0" fontId="5" fillId="11" borderId="2" xfId="0" applyFont="1" applyFill="1" applyBorder="1"/>
    <xf numFmtId="0" fontId="5" fillId="12" borderId="2" xfId="0" applyFont="1" applyFill="1" applyBorder="1"/>
    <xf numFmtId="0" fontId="5" fillId="13" borderId="2" xfId="0" applyFont="1" applyFill="1" applyBorder="1"/>
    <xf numFmtId="0" fontId="5" fillId="14" borderId="2" xfId="0" applyFont="1" applyFill="1" applyBorder="1"/>
    <xf numFmtId="0" fontId="5" fillId="15" borderId="2" xfId="0" applyFont="1" applyFill="1" applyBorder="1"/>
    <xf numFmtId="0" fontId="5" fillId="16" borderId="2" xfId="0" applyFont="1" applyFill="1" applyBorder="1"/>
    <xf numFmtId="0" fontId="5" fillId="17" borderId="2" xfId="0" applyFont="1" applyFill="1" applyBorder="1"/>
    <xf numFmtId="0" fontId="5" fillId="18" borderId="2" xfId="0" applyFont="1" applyFill="1" applyBorder="1"/>
    <xf numFmtId="0" fontId="5" fillId="19" borderId="2" xfId="0" applyFont="1" applyFill="1" applyBorder="1"/>
    <xf numFmtId="0" fontId="5" fillId="20" borderId="2" xfId="0" applyFont="1" applyFill="1" applyBorder="1"/>
    <xf numFmtId="0" fontId="5" fillId="21" borderId="2" xfId="0" applyFont="1" applyFill="1" applyBorder="1"/>
    <xf numFmtId="0" fontId="5" fillId="22" borderId="2" xfId="0" applyFont="1" applyFill="1" applyBorder="1"/>
    <xf numFmtId="0" fontId="5" fillId="23" borderId="2" xfId="0" applyFont="1" applyFill="1" applyBorder="1"/>
    <xf numFmtId="0" fontId="5" fillId="24" borderId="2" xfId="0" applyFont="1" applyFill="1" applyBorder="1"/>
    <xf numFmtId="0" fontId="5" fillId="25" borderId="2" xfId="0" applyFont="1" applyFill="1" applyBorder="1"/>
    <xf numFmtId="0" fontId="5" fillId="26" borderId="2" xfId="0" applyFont="1" applyFill="1" applyBorder="1"/>
    <xf numFmtId="0" fontId="5" fillId="27" borderId="2" xfId="0" applyFont="1" applyFill="1" applyBorder="1"/>
    <xf numFmtId="0" fontId="5" fillId="28" borderId="2" xfId="0" applyFont="1" applyFill="1" applyBorder="1"/>
    <xf numFmtId="0" fontId="5" fillId="29" borderId="2" xfId="0" applyFont="1" applyFill="1" applyBorder="1"/>
    <xf numFmtId="0" fontId="5" fillId="30" borderId="2" xfId="0" applyFont="1" applyFill="1" applyBorder="1"/>
    <xf numFmtId="0" fontId="5" fillId="31" borderId="2" xfId="0" applyFont="1" applyFill="1" applyBorder="1"/>
    <xf numFmtId="0" fontId="5" fillId="32" borderId="2" xfId="0" applyFont="1" applyFill="1" applyBorder="1"/>
    <xf numFmtId="0" fontId="5" fillId="33" borderId="2" xfId="0" applyFont="1" applyFill="1" applyBorder="1"/>
    <xf numFmtId="0" fontId="5" fillId="34" borderId="2" xfId="0" applyFont="1" applyFill="1" applyBorder="1"/>
    <xf numFmtId="0" fontId="5" fillId="35" borderId="2" xfId="0" applyFont="1" applyFill="1" applyBorder="1"/>
    <xf numFmtId="0" fontId="5" fillId="36" borderId="2" xfId="0" applyFont="1" applyFill="1" applyBorder="1"/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52">
    <dxf>
      <fill>
        <patternFill>
          <fgColor indexed="64"/>
          <bgColor theme="6" tint="-0.24994659260841701"/>
        </patternFill>
      </fill>
    </dxf>
    <dxf>
      <numFmt numFmtId="164" formatCode="0.000"/>
    </dxf>
    <dxf>
      <numFmt numFmtId="1" formatCode="0"/>
    </dxf>
    <dxf>
      <numFmt numFmtId="1" formatCode="0"/>
    </dxf>
    <dxf>
      <alignment wrapText="1" readingOrder="0"/>
    </dxf>
    <dxf>
      <alignment wrapText="1" readingOrder="0"/>
    </dxf>
    <dxf>
      <alignment wrapText="1" readingOrder="0"/>
    </dxf>
    <dxf>
      <numFmt numFmtId="164" formatCode="0.0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alignment wrapText="1" readingOrder="0"/>
    </dxf>
    <dxf>
      <alignment wrapText="1" readingOrder="0"/>
    </dxf>
    <dxf>
      <alignment wrapText="1" readingOrder="0"/>
    </dxf>
    <dxf>
      <numFmt numFmtId="164" formatCode="0.000"/>
    </dxf>
    <dxf>
      <numFmt numFmtId="2" formatCode="0.00"/>
    </dxf>
    <dxf>
      <numFmt numFmtId="2" formatCode="0.00"/>
    </dxf>
    <dxf>
      <numFmt numFmtId="164" formatCode="0.000"/>
    </dxf>
    <dxf>
      <alignment horizontal="general" vertical="bottom" textRotation="0" wrapText="1" indent="0" justifyLastLine="0" shrinkToFi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"/>
    </dxf>
    <dxf>
      <numFmt numFmtId="0" formatCode="General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fgColor indexed="64"/>
          <bgColor theme="6" tint="-0.24994659260841701"/>
        </patternFill>
      </fill>
    </dxf>
    <dxf>
      <fill>
        <patternFill>
          <fgColor indexed="64"/>
          <bgColor theme="6" tint="-0.24994659260841701"/>
        </patternFill>
      </fill>
    </dxf>
    <dxf>
      <font>
        <b/>
        <color theme="6" tint="-0.249977111117893"/>
      </font>
      <fill>
        <patternFill patternType="solid">
          <fgColor theme="6" tint="0.59999389629810485"/>
          <bgColor theme="6" tint="0.59999389629810485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ont>
        <b/>
        <color theme="6" tint="-0.249977111117893"/>
      </font>
      <fill>
        <patternFill patternType="solid">
          <fgColor theme="6" tint="0.59999389629810485"/>
          <bgColor theme="6" tint="0.59999389629810485"/>
        </patternFill>
      </fill>
    </dxf>
    <dxf>
      <font>
        <b/>
        <color theme="6" tint="-0.249977111117893"/>
      </font>
    </dxf>
    <dxf>
      <font>
        <b/>
        <i val="0"/>
        <color theme="0" tint="-4.9989318521683403E-2"/>
      </font>
      <fill>
        <patternFill>
          <bgColor theme="6" tint="-0.499984740745262"/>
        </patternFill>
      </fill>
      <border diagonalUp="0" diagonalDown="0">
        <left/>
        <right/>
        <top/>
        <bottom/>
        <vertical style="thin">
          <color theme="0"/>
        </vertical>
        <horizontal style="thin">
          <color theme="0"/>
        </horizontal>
      </border>
    </dxf>
    <dxf>
      <font>
        <color theme="6" tint="-0.249977111117893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</border>
    </dxf>
  </dxfs>
  <tableStyles count="1" defaultTableStyle="TableStyleMedium2" defaultPivotStyle="PivotStyleLight16">
    <tableStyle name="PivotStyleMedium25 2" table="0" count="10">
      <tableStyleElement type="wholeTable" dxfId="51"/>
      <tableStyleElement type="headerRow" dxfId="50"/>
      <tableStyleElement type="totalRow" dxfId="49"/>
      <tableStyleElement type="firstColumn" dxfId="48"/>
      <tableStyleElement type="secondRowStripe" dxfId="47"/>
      <tableStyleElement type="secondColumnStripe" dxfId="46"/>
      <tableStyleElement type="firstSubtotalRow" dxfId="45"/>
      <tableStyleElement type="secondSubtotalRow" dxfId="44"/>
      <tableStyleElement type="firstRowSubheading" dxfId="43"/>
      <tableStyleElement type="pageFieldLabels" dxfId="4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pivotCacheDefinition" Target="pivotCache/pivotCacheDefinition1.xml"/><Relationship Id="rId8" Type="http://schemas.openxmlformats.org/officeDocument/2006/relationships/pivotCacheDefinition" Target="pivotCache/pivotCacheDefinition2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1</xdr:row>
          <xdr:rowOff>101600</xdr:rowOff>
        </xdr:from>
        <xdr:to>
          <xdr:col>7</xdr:col>
          <xdr:colOff>317500</xdr:colOff>
          <xdr:row>3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Game Scores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4</xdr:row>
          <xdr:rowOff>25400</xdr:rowOff>
        </xdr:from>
        <xdr:to>
          <xdr:col>7</xdr:col>
          <xdr:colOff>304800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737.524464467591" createdVersion="4" refreshedVersion="4" minRefreshableVersion="3" recordCount="638">
  <cacheSource type="worksheet">
    <worksheetSource name="RawData"/>
  </cacheSource>
  <cacheFields count="10">
    <cacheField name="W Team" numFmtId="0">
      <sharedItems containsBlank="1" count="118">
        <s v="West Texas"/>
        <s v="Deutschtown"/>
        <s v="Erie Tech"/>
        <s v="Calvert"/>
        <s v="Irvington"/>
        <s v="Kentucky Tech"/>
        <s v="Lakeshore"/>
        <s v="California A&amp;M"/>
        <s v="UC Long Beach"/>
        <s v="Bloom State"/>
        <s v="Redmond"/>
        <s v="Dennison State"/>
        <s v="Southern Atlantic"/>
        <s v="UW Lower Columbia"/>
        <s v="Continental"/>
        <s v="Golden Isles"/>
        <s v="Minnesota A&amp;M"/>
        <s v="Coastal California"/>
        <m/>
        <s v="Russell" u="1"/>
        <s v="Wichita East" u="1"/>
        <s v="Abilene" u="1"/>
        <s v="Moundridge" u="1"/>
        <s v="Maize South" u="1"/>
        <s v="Wellington" u="1"/>
        <s v="Medicine Lodge" u="1"/>
        <s v="Great Bend" u="1"/>
        <s v="Junction City" u="1"/>
        <s v="Wichita Trinity" u="1"/>
        <s v="Rose Hill" u="1"/>
        <s v="Belle Plaine" u="1"/>
        <s v="Spring Hill" u="1"/>
        <s v="Salina South" u="1"/>
        <s v="Pratt" u="1"/>
        <s v="Dodge City" u="1"/>
        <s v="Hoisington" u="1"/>
        <s v="El Dorado" u="1"/>
        <s v="Ell-Saline" u="1"/>
        <s v="Minneapolis" u="1"/>
        <s v="Clearwater" u="1"/>
        <s v="Woodward (Okla.)" u="1"/>
        <s v="Newton" u="1"/>
        <s v="Riley County" u="1"/>
        <s v="Inman" u="1"/>
        <s v="Lyons" u="1"/>
        <s v="Kingman" u="1"/>
        <s v="Lawrence" u="1"/>
        <s v="Rock Creek" u="1"/>
        <s v="Wichita Bishop Carroll" u="1"/>
        <s v="Marysville" u="1"/>
        <s v="Circle" u="1"/>
        <s v="Word of Life" u="1"/>
        <s v="Salina Sacred Heart" u="1"/>
        <s v="Nickerson" u="1"/>
        <s v="Wichita Southeast" u="1"/>
        <s v="Southeast of Saline" u="1"/>
        <s v="St. James Academy" u="1"/>
        <s v="Canton-Galva" u="1"/>
        <s v="Wichita Collegiate" u="1"/>
        <s v="Arkansas City" u="1"/>
        <s v="Wamego" u="1"/>
        <s v="McPherson" u="1"/>
        <s v="Salina Central" u="1"/>
        <s v="Ellsworth" u="1"/>
        <s v="Wichita Kapaun Mt. Carmel" u="1"/>
        <s v="Ottawa" u="1"/>
        <s v="Little River" u="1"/>
        <s v="Wichita South" u="1"/>
        <s v="Clay Center" u="1"/>
        <s v="Council Grove" u="1"/>
        <s v="Wichita Northwest" u="1"/>
        <s v="Beloit" u="1"/>
        <s v="Halstead" u="1"/>
        <s v="Garden City" u="1"/>
        <s v="Andover" u="1"/>
        <s v="Valley Center" u="1"/>
        <s v="Buhler" u="1"/>
        <s v="Holton" u="1"/>
        <s v="W Team" u="1"/>
        <s v="Bluestem" u="1"/>
        <s v="Goddard Eisenhower" u="1"/>
        <s v="Liberal" u="1"/>
        <s v="Sedgwick" u="1"/>
        <s v="Thomas More Prep" u="1"/>
        <s v="Marion" u="1"/>
        <s v="Hays" u="1"/>
        <s v="Wichita North" u="1"/>
        <s v="Douglass" u="1"/>
        <s v="Winfield" u="1"/>
        <s v="Hutchinson" u="1"/>
        <s v="Silver Lake" u="1"/>
        <s v="Andover Central" u="1"/>
        <s v="Goddard" u="1"/>
        <s v="Mulvane" u="1"/>
        <s v="Andale/Garden Plain" u="1"/>
        <s v="Concordia" u="1"/>
        <s v="Wichita Heights" u="1"/>
        <s v="TestTeam1" u="1"/>
        <s v="Shawnee Mission Bishop Miege" u="1"/>
        <s v="Wichita West" u="1"/>
        <s v="Topeka Washburn Rural" u="1"/>
        <s v="Derby" u="1"/>
        <s v="Rossville" u="1"/>
        <s v="Chase County" u="1"/>
        <s v="Wichita Independent" u="1"/>
        <s v="Augusta" u="1"/>
        <s v="Blue Valley West" u="1"/>
        <s v="Manhattan" u="1"/>
        <s v="Larned" u="1"/>
        <s v="Olathe South" u="1"/>
        <s v="Lakin" u="1"/>
        <s v="Campus" u="1"/>
        <s v="Emporia" u="1"/>
        <s v="Haven" u="1"/>
        <s v="Ellis" u="1"/>
        <s v="Maize" u="1"/>
        <s v="Hillsboro" u="1"/>
        <s v="Smoky Valley" u="1"/>
      </sharedItems>
    </cacheField>
    <cacheField name="W Score" numFmtId="0">
      <sharedItems containsString="0" containsBlank="1" containsNumber="1" containsInteger="1" minValue="107" maxValue="214"/>
    </cacheField>
    <cacheField name="L Team" numFmtId="0">
      <sharedItems containsBlank="1" count="136">
        <s v="Minnesota A&amp;M"/>
        <s v="Redmond"/>
        <s v="Southern Atlantic"/>
        <s v="Bloom State"/>
        <s v="UW Lower Columbia"/>
        <s v="Coastal California"/>
        <s v="Continental"/>
        <s v="Dennison State"/>
        <s v="Golden Isles"/>
        <s v="California A&amp;M"/>
        <s v="West Texas"/>
        <s v="Kentucky Tech"/>
        <s v="Irvington"/>
        <s v="Deutschtown"/>
        <s v="Erie Tech"/>
        <s v="UC Long Beach"/>
        <s v="Calvert"/>
        <s v="Lakeshore"/>
        <m/>
        <s v="Russell" u="1"/>
        <s v="Wichita East" u="1"/>
        <s v="Abilene" u="1"/>
        <s v="Moundridge" u="1"/>
        <s v="Wabaunsee" u="1"/>
        <s v="Bennington" u="1"/>
        <s v="Maize South" u="1"/>
        <s v="Wellington" u="1"/>
        <s v="Medicine Lodge" u="1"/>
        <s v="Chapman" u="1"/>
        <s v="Great Bend" u="1"/>
        <s v="Junction City" u="1"/>
        <s v="Choctaw (Okla.)" u="1"/>
        <s v="Wichita Trinity" u="1"/>
        <s v="Rose Hill" u="1"/>
        <s v="Belle Plaine" u="1"/>
        <s v="Salina South" u="1"/>
        <s v="Shawnee Mission West" u="1"/>
        <s v="Pratt" u="1"/>
        <s v="Dodge City" u="1"/>
        <s v="Hoisington" u="1"/>
        <s v="Nowata (Okla.)" u="1"/>
        <s v="El Dorado" u="1"/>
        <s v="Ell-Saline" u="1"/>
        <s v="Minneapolis" u="1"/>
        <s v="Lincoln" u="1"/>
        <s v="Clearwater" u="1"/>
        <s v="Newton" u="1"/>
        <s v="Riley County" u="1"/>
        <s v="Inman" u="1"/>
        <s v="Lyons" u="1"/>
        <s v="Kingman" u="1"/>
        <s v="Rock Creek" u="1"/>
        <s v="Wichita Bishop Carroll" u="1"/>
        <s v="Marysville" u="1"/>
        <s v="Circle" u="1"/>
        <s v="Word of Life" u="1"/>
        <s v="Burden Central" u="1"/>
        <s v="Baldwin" u="1"/>
        <s v="Salina Sacred Heart" u="1"/>
        <s v="Minneola" u="1"/>
        <s v="Nickerson" u="1"/>
        <s v="Wichita Southeast" u="1"/>
        <s v="Colby" u="1"/>
        <s v="Canton-Galva" u="1"/>
        <s v="Wichita Collegiate" u="1"/>
        <s v="Arkansas City" u="1"/>
        <s v="Wamego" u="1"/>
        <s v="McPherson" u="1"/>
        <s v="TestTeam2" u="1"/>
        <s v="Salina Central" u="1"/>
        <s v="Ellsworth" u="1"/>
        <s v="Wichita Kapaun Mt. Carmel" u="1"/>
        <s v="Ottawa" u="1"/>
        <s v="Little River" u="1"/>
        <s v="Wichita South" u="1"/>
        <s v="Clay Center" u="1"/>
        <s v="Wichita Northwest" u="1"/>
        <s v="Beloit" u="1"/>
        <s v="Halstead" u="1"/>
        <s v="Herington" u="1"/>
        <s v="Guymon (Okla.)" u="1"/>
        <s v="St. Marys" u="1"/>
        <s v="Garden City" u="1"/>
        <s v="Andover" u="1"/>
        <s v="Chaparral" u="1"/>
        <s v="Valley Center" u="1"/>
        <s v="Jefferson West" u="1"/>
        <s v="Buhler" u="1"/>
        <s v="Holton" u="1"/>
        <s v="Bluestem" u="1"/>
        <s v="Goddard Eisenhower" u="1"/>
        <s v="Liberal" u="1"/>
        <s v="Sedgwick" u="1"/>
        <s v="Branson (Mo.)" u="1"/>
        <s v="Thomas More Prep" u="1"/>
        <s v="Marion" u="1"/>
        <s v="Hays" u="1"/>
        <s v="Ulysses" u="1"/>
        <s v="Wichita North" u="1"/>
        <s v="Douglass" u="1"/>
        <s v="Winfield" u="1"/>
        <s v="Hutchinson" u="1"/>
        <s v="Silver Lake" u="1"/>
        <s v="Andover Central" u="1"/>
        <s v="Goddard" u="1"/>
        <s v="Mulvane" u="1"/>
        <s v="Andale/Garden Plain" u="1"/>
        <s v="Concordia" u="1"/>
        <s v="Topeka Hayden" u="1"/>
        <s v="Wichita Heights" u="1"/>
        <s v="Syracuse" u="1"/>
        <s v="Shawnee Mission Bishop Miege" u="1"/>
        <s v="Goodland" u="1"/>
        <s v="Wichita West" u="1"/>
        <s v="Sunrise Christian" u="1"/>
        <s v="Derby" u="1"/>
        <s v="Leoti" u="1"/>
        <s v="Spearville" u="1"/>
        <s v="Chase County" u="1"/>
        <s v="Wichita Independent" u="1"/>
        <s v="Augusta" u="1"/>
        <s v="Sublette" u="1"/>
        <s v="Independence" u="1"/>
        <s v="Manhattan" u="1"/>
        <s v="Kansas City Turner" u="1"/>
        <s v="Larned" u="1"/>
        <s v="Coffeyville" u="1"/>
        <s v="Lakin" u="1"/>
        <s v="Campus" u="1"/>
        <s v="Haven" u="1"/>
        <s v="Ellis" u="1"/>
        <s v="Scott City" u="1"/>
        <s v="L Team" u="1"/>
        <s v="Maize" u="1"/>
        <s v="Hillsboro" u="1"/>
        <s v="Smoky Valley" u="1"/>
      </sharedItems>
    </cacheField>
    <cacheField name="L Score" numFmtId="0">
      <sharedItems containsString="0" containsBlank="1" containsNumber="1" containsInteger="1" minValue="0" maxValue="168"/>
    </cacheField>
    <cacheField name="W WP" numFmtId="164">
      <sharedItems containsBlank="1" containsMixedTypes="1" containsNumber="1" minValue="0.1" maxValue="0.8"/>
    </cacheField>
    <cacheField name="L WP" numFmtId="164">
      <sharedItems containsBlank="1" containsMixedTypes="1" containsNumber="1" minValue="0.1" maxValue="0.8"/>
    </cacheField>
    <cacheField name="W OWP" numFmtId="164">
      <sharedItems containsBlank="1" containsMixedTypes="1" containsNumber="1" minValue="0.43" maxValue="0.57000000000000006"/>
    </cacheField>
    <cacheField name="L OWP" numFmtId="164">
      <sharedItems containsBlank="1" containsMixedTypes="1" containsNumber="1" minValue="0.43" maxValue="0.57000000000000006"/>
    </cacheField>
    <cacheField name="G * W WP" numFmtId="0" formula="COUNT('L Team')*AVERAGE('W WP')" databaseField="0"/>
    <cacheField name="G * L WP" numFmtId="0" formula="COUNT('W Team')*AVERAGE('L WP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2737.524477083331" createdVersion="4" refreshedVersion="4" minRefreshableVersion="3" recordCount="291">
  <cacheSource type="worksheet">
    <worksheetSource name="Prep"/>
  </cacheSource>
  <cacheFields count="6">
    <cacheField name="Team" numFmtId="0">
      <sharedItems containsMixedTypes="1" containsNumber="1" containsInteger="1" minValue="0" maxValue="0" count="22">
        <s v="(blank)"/>
        <s v="West Texas"/>
        <s v="Deutschtown"/>
        <s v="Erie Tech"/>
        <s v="Calvert"/>
        <s v="Irvington"/>
        <s v="Kentucky Tech"/>
        <s v="Lakeshore"/>
        <s v="California A&amp;M"/>
        <s v="UC Long Beach"/>
        <s v="Bloom State"/>
        <s v="Redmond"/>
        <s v="Dennison State"/>
        <s v="Southern Atlantic"/>
        <s v="UW Lower Columbia"/>
        <s v="Continental"/>
        <s v="Golden Isles"/>
        <s v="Minnesota A&amp;M"/>
        <s v="Coastal California"/>
        <n v="0"/>
        <s v=""/>
        <e v="#VALUE!"/>
      </sharedItems>
    </cacheField>
    <cacheField name="WP" numFmtId="164">
      <sharedItems containsMixedTypes="1" containsNumber="1" minValue="0.1" maxValue="0.8"/>
    </cacheField>
    <cacheField name="OWP" numFmtId="164">
      <sharedItems containsMixedTypes="1" containsNumber="1" minValue="0.43" maxValue="0.57000000000000006"/>
    </cacheField>
    <cacheField name="OOWP" numFmtId="164">
      <sharedItems containsMixedTypes="1" containsNumber="1" minValue="0.45999999999999996" maxValue="0.53200000000000003"/>
    </cacheField>
    <cacheField name="Games Played" numFmtId="0">
      <sharedItems containsMixedTypes="1" containsNumber="1" containsInteger="1" minValue="0" maxValue="10"/>
    </cacheField>
    <cacheField name="RPI1" numFmtId="164">
      <sharedItems containsMixedTypes="1" containsNumber="1" minValue="0.40600000000000003" maxValue="0.591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8">
  <r>
    <x v="0"/>
    <n v="133"/>
    <x v="0"/>
    <n v="0"/>
    <n v="0.4"/>
    <n v="0.5"/>
    <n v="0.48"/>
    <n v="0.53"/>
  </r>
  <r>
    <x v="1"/>
    <n v="126"/>
    <x v="1"/>
    <n v="110"/>
    <n v="0.5"/>
    <n v="0.5"/>
    <n v="0.47000000000000003"/>
    <n v="0.47000000000000003"/>
  </r>
  <r>
    <x v="2"/>
    <n v="132"/>
    <x v="2"/>
    <n v="116"/>
    <n v="0.3"/>
    <n v="0.3"/>
    <n v="0.5"/>
    <n v="0.49000000000000005"/>
  </r>
  <r>
    <x v="3"/>
    <n v="165"/>
    <x v="3"/>
    <n v="129"/>
    <n v="0.8"/>
    <n v="0.7"/>
    <n v="0.52999999999999992"/>
    <n v="0.48"/>
  </r>
  <r>
    <x v="4"/>
    <n v="154"/>
    <x v="4"/>
    <n v="81"/>
    <n v="0.6"/>
    <n v="0.1"/>
    <n v="0.46999999999999992"/>
    <n v="0.51"/>
  </r>
  <r>
    <x v="5"/>
    <n v="126"/>
    <x v="5"/>
    <n v="68"/>
    <n v="0.4"/>
    <n v="0.4"/>
    <n v="0.45"/>
    <n v="0.53"/>
  </r>
  <r>
    <x v="6"/>
    <n v="149"/>
    <x v="6"/>
    <n v="140"/>
    <n v="0.8"/>
    <n v="0.4"/>
    <n v="0.43"/>
    <n v="0.54"/>
  </r>
  <r>
    <x v="7"/>
    <n v="186"/>
    <x v="7"/>
    <n v="138"/>
    <n v="0.7"/>
    <n v="0.5"/>
    <n v="0.54"/>
    <n v="0.54"/>
  </r>
  <r>
    <x v="8"/>
    <n v="130"/>
    <x v="8"/>
    <n v="128"/>
    <n v="0.7"/>
    <n v="0.4"/>
    <n v="0.57000000000000006"/>
    <n v="0.47000000000000003"/>
  </r>
  <r>
    <x v="3"/>
    <n v="170"/>
    <x v="9"/>
    <n v="139"/>
    <n v="0.8"/>
    <n v="0.7"/>
    <n v="0.52999999999999992"/>
    <n v="0.54"/>
  </r>
  <r>
    <x v="9"/>
    <n v="171"/>
    <x v="6"/>
    <n v="123"/>
    <n v="0.7"/>
    <n v="0.4"/>
    <n v="0.48"/>
    <n v="0.54"/>
  </r>
  <r>
    <x v="10"/>
    <n v="142"/>
    <x v="8"/>
    <n v="136"/>
    <n v="0.5"/>
    <n v="0.4"/>
    <n v="0.47000000000000003"/>
    <n v="0.47000000000000003"/>
  </r>
  <r>
    <x v="11"/>
    <n v="178"/>
    <x v="10"/>
    <n v="125"/>
    <n v="0.5"/>
    <n v="0.4"/>
    <n v="0.54"/>
    <n v="0.48"/>
  </r>
  <r>
    <x v="2"/>
    <n v="155"/>
    <x v="0"/>
    <n v="94"/>
    <n v="0.3"/>
    <n v="0.5"/>
    <n v="0.5"/>
    <n v="0.53"/>
  </r>
  <r>
    <x v="1"/>
    <n v="140"/>
    <x v="11"/>
    <n v="126"/>
    <n v="0.5"/>
    <n v="0.4"/>
    <n v="0.47000000000000003"/>
    <n v="0.45"/>
  </r>
  <r>
    <x v="6"/>
    <n v="149"/>
    <x v="4"/>
    <n v="92"/>
    <n v="0.8"/>
    <n v="0.1"/>
    <n v="0.43"/>
    <n v="0.51"/>
  </r>
  <r>
    <x v="8"/>
    <n v="131"/>
    <x v="12"/>
    <n v="127"/>
    <n v="0.7"/>
    <n v="0.6"/>
    <n v="0.57000000000000006"/>
    <n v="0.46999999999999992"/>
  </r>
  <r>
    <x v="12"/>
    <n v="107"/>
    <x v="5"/>
    <n v="91"/>
    <n v="0.3"/>
    <n v="0.4"/>
    <n v="0.49000000000000005"/>
    <n v="0.53"/>
  </r>
  <r>
    <x v="6"/>
    <n v="150"/>
    <x v="0"/>
    <n v="136"/>
    <n v="0.8"/>
    <n v="0.5"/>
    <n v="0.43"/>
    <n v="0.53"/>
  </r>
  <r>
    <x v="9"/>
    <n v="149"/>
    <x v="13"/>
    <n v="134"/>
    <n v="0.7"/>
    <n v="0.5"/>
    <n v="0.48"/>
    <n v="0.47000000000000003"/>
  </r>
  <r>
    <x v="11"/>
    <n v="187"/>
    <x v="8"/>
    <n v="133"/>
    <n v="0.5"/>
    <n v="0.4"/>
    <n v="0.54"/>
    <n v="0.47000000000000003"/>
  </r>
  <r>
    <x v="8"/>
    <n v="187"/>
    <x v="14"/>
    <n v="144"/>
    <n v="0.7"/>
    <n v="0.3"/>
    <n v="0.57000000000000006"/>
    <n v="0.5"/>
  </r>
  <r>
    <x v="4"/>
    <n v="137"/>
    <x v="5"/>
    <n v="104"/>
    <n v="0.6"/>
    <n v="0.4"/>
    <n v="0.46999999999999992"/>
    <n v="0.53"/>
  </r>
  <r>
    <x v="7"/>
    <n v="160"/>
    <x v="2"/>
    <n v="92"/>
    <n v="0.7"/>
    <n v="0.3"/>
    <n v="0.54"/>
    <n v="0.49000000000000005"/>
  </r>
  <r>
    <x v="10"/>
    <n v="145"/>
    <x v="6"/>
    <n v="140"/>
    <n v="0.5"/>
    <n v="0.4"/>
    <n v="0.47000000000000003"/>
    <n v="0.54"/>
  </r>
  <r>
    <x v="13"/>
    <n v="117"/>
    <x v="11"/>
    <n v="77"/>
    <n v="0.1"/>
    <n v="0.4"/>
    <n v="0.51"/>
    <n v="0.45"/>
  </r>
  <r>
    <x v="3"/>
    <n v="132"/>
    <x v="10"/>
    <n v="106"/>
    <n v="0.8"/>
    <n v="0.4"/>
    <n v="0.52999999999999992"/>
    <n v="0.48"/>
  </r>
  <r>
    <x v="3"/>
    <n v="185"/>
    <x v="12"/>
    <n v="122"/>
    <n v="0.8"/>
    <n v="0.6"/>
    <n v="0.52999999999999992"/>
    <n v="0.46999999999999992"/>
  </r>
  <r>
    <x v="14"/>
    <n v="195"/>
    <x v="9"/>
    <n v="168"/>
    <n v="0.4"/>
    <n v="0.7"/>
    <n v="0.54"/>
    <n v="0.54"/>
  </r>
  <r>
    <x v="15"/>
    <n v="182"/>
    <x v="14"/>
    <n v="118"/>
    <n v="0.4"/>
    <n v="0.3"/>
    <n v="0.47000000000000003"/>
    <n v="0.5"/>
  </r>
  <r>
    <x v="6"/>
    <n v="173"/>
    <x v="2"/>
    <n v="123"/>
    <n v="0.8"/>
    <n v="0.3"/>
    <n v="0.43"/>
    <n v="0.49000000000000005"/>
  </r>
  <r>
    <x v="9"/>
    <n v="162"/>
    <x v="15"/>
    <n v="154"/>
    <n v="0.7"/>
    <n v="0.7"/>
    <n v="0.48"/>
    <n v="0.57000000000000006"/>
  </r>
  <r>
    <x v="10"/>
    <n v="168"/>
    <x v="11"/>
    <n v="157"/>
    <n v="0.5"/>
    <n v="0.4"/>
    <n v="0.47000000000000003"/>
    <n v="0.45"/>
  </r>
  <r>
    <x v="16"/>
    <n v="172"/>
    <x v="5"/>
    <n v="143"/>
    <n v="0.5"/>
    <n v="0.4"/>
    <n v="0.53"/>
    <n v="0.53"/>
  </r>
  <r>
    <x v="11"/>
    <n v="126"/>
    <x v="4"/>
    <n v="120"/>
    <n v="0.5"/>
    <n v="0.1"/>
    <n v="0.54"/>
    <n v="0.51"/>
  </r>
  <r>
    <x v="0"/>
    <n v="119"/>
    <x v="13"/>
    <n v="115"/>
    <n v="0.4"/>
    <n v="0.5"/>
    <n v="0.48"/>
    <n v="0.47000000000000003"/>
  </r>
  <r>
    <x v="16"/>
    <n v="137"/>
    <x v="15"/>
    <n v="114"/>
    <n v="0.5"/>
    <n v="0.7"/>
    <n v="0.53"/>
    <n v="0.57000000000000006"/>
  </r>
  <r>
    <x v="14"/>
    <n v="164"/>
    <x v="4"/>
    <n v="97"/>
    <n v="0.4"/>
    <n v="0.1"/>
    <n v="0.54"/>
    <n v="0.51"/>
  </r>
  <r>
    <x v="1"/>
    <n v="146"/>
    <x v="14"/>
    <n v="143"/>
    <n v="0.5"/>
    <n v="0.3"/>
    <n v="0.47000000000000003"/>
    <n v="0.5"/>
  </r>
  <r>
    <x v="5"/>
    <n v="147"/>
    <x v="8"/>
    <n v="141"/>
    <n v="0.4"/>
    <n v="0.4"/>
    <n v="0.45"/>
    <n v="0.47000000000000003"/>
  </r>
  <r>
    <x v="3"/>
    <n v="143"/>
    <x v="7"/>
    <n v="98"/>
    <n v="0.8"/>
    <n v="0.5"/>
    <n v="0.52999999999999992"/>
    <n v="0.54"/>
  </r>
  <r>
    <x v="7"/>
    <n v="190"/>
    <x v="3"/>
    <n v="127"/>
    <n v="0.7"/>
    <n v="0.7"/>
    <n v="0.54"/>
    <n v="0.48"/>
  </r>
  <r>
    <x v="4"/>
    <n v="152"/>
    <x v="1"/>
    <n v="149"/>
    <n v="0.6"/>
    <n v="0.5"/>
    <n v="0.46999999999999992"/>
    <n v="0.47000000000000003"/>
  </r>
  <r>
    <x v="12"/>
    <n v="137"/>
    <x v="10"/>
    <n v="77"/>
    <n v="0.3"/>
    <n v="0.4"/>
    <n v="0.49000000000000005"/>
    <n v="0.48"/>
  </r>
  <r>
    <x v="8"/>
    <n v="163"/>
    <x v="16"/>
    <n v="126"/>
    <n v="0.7"/>
    <n v="0.8"/>
    <n v="0.57000000000000006"/>
    <n v="0.52999999999999992"/>
  </r>
  <r>
    <x v="12"/>
    <n v="137"/>
    <x v="11"/>
    <n v="80"/>
    <n v="0.3"/>
    <n v="0.4"/>
    <n v="0.49000000000000005"/>
    <n v="0.45"/>
  </r>
  <r>
    <x v="16"/>
    <n v="132"/>
    <x v="7"/>
    <n v="100"/>
    <n v="0.5"/>
    <n v="0.5"/>
    <n v="0.53"/>
    <n v="0.54"/>
  </r>
  <r>
    <x v="14"/>
    <n v="141"/>
    <x v="14"/>
    <n v="135"/>
    <n v="0.4"/>
    <n v="0.3"/>
    <n v="0.54"/>
    <n v="0.5"/>
  </r>
  <r>
    <x v="7"/>
    <n v="155"/>
    <x v="12"/>
    <n v="130"/>
    <n v="0.7"/>
    <n v="0.6"/>
    <n v="0.54"/>
    <n v="0.46999999999999992"/>
  </r>
  <r>
    <x v="6"/>
    <n v="165"/>
    <x v="1"/>
    <n v="154"/>
    <n v="0.8"/>
    <n v="0.5"/>
    <n v="0.43"/>
    <n v="0.47000000000000003"/>
  </r>
  <r>
    <x v="9"/>
    <n v="168"/>
    <x v="5"/>
    <n v="80"/>
    <n v="0.7"/>
    <n v="0.4"/>
    <n v="0.48"/>
    <n v="0.53"/>
  </r>
  <r>
    <x v="1"/>
    <n v="174"/>
    <x v="4"/>
    <n v="92"/>
    <n v="0.5"/>
    <n v="0.1"/>
    <n v="0.47000000000000003"/>
    <n v="0.51"/>
  </r>
  <r>
    <x v="15"/>
    <n v="144"/>
    <x v="10"/>
    <n v="104"/>
    <n v="0.4"/>
    <n v="0.4"/>
    <n v="0.47000000000000003"/>
    <n v="0.48"/>
  </r>
  <r>
    <x v="7"/>
    <n v="176"/>
    <x v="0"/>
    <n v="115"/>
    <n v="0.7"/>
    <n v="0.5"/>
    <n v="0.54"/>
    <n v="0.53"/>
  </r>
  <r>
    <x v="4"/>
    <n v="141"/>
    <x v="6"/>
    <n v="124"/>
    <n v="0.6"/>
    <n v="0.4"/>
    <n v="0.46999999999999992"/>
    <n v="0.54"/>
  </r>
  <r>
    <x v="6"/>
    <n v="174"/>
    <x v="13"/>
    <n v="158"/>
    <n v="0.8"/>
    <n v="0.5"/>
    <n v="0.43"/>
    <n v="0.47000000000000003"/>
  </r>
  <r>
    <x v="17"/>
    <n v="174"/>
    <x v="8"/>
    <n v="114"/>
    <n v="0.4"/>
    <n v="0.4"/>
    <n v="0.53"/>
    <n v="0.47000000000000003"/>
  </r>
  <r>
    <x v="9"/>
    <n v="159"/>
    <x v="4"/>
    <n v="142"/>
    <n v="0.7"/>
    <n v="0.1"/>
    <n v="0.48"/>
    <n v="0.51"/>
  </r>
  <r>
    <x v="3"/>
    <n v="185"/>
    <x v="14"/>
    <n v="134"/>
    <n v="0.8"/>
    <n v="0.3"/>
    <n v="0.52999999999999992"/>
    <n v="0.5"/>
  </r>
  <r>
    <x v="0"/>
    <n v="152"/>
    <x v="11"/>
    <n v="131"/>
    <n v="0.4"/>
    <n v="0.4"/>
    <n v="0.48"/>
    <n v="0.45"/>
  </r>
  <r>
    <x v="8"/>
    <n v="214"/>
    <x v="7"/>
    <n v="148"/>
    <n v="0.7"/>
    <n v="0.5"/>
    <n v="0.57000000000000006"/>
    <n v="0.54"/>
  </r>
  <r>
    <x v="3"/>
    <n v="183"/>
    <x v="1"/>
    <n v="146"/>
    <n v="0.8"/>
    <n v="0.5"/>
    <n v="0.52999999999999992"/>
    <n v="0.47000000000000003"/>
  </r>
  <r>
    <x v="11"/>
    <n v="171"/>
    <x v="2"/>
    <n v="134"/>
    <n v="0.5"/>
    <n v="0.3"/>
    <n v="0.54"/>
    <n v="0.49000000000000005"/>
  </r>
  <r>
    <x v="9"/>
    <n v="173"/>
    <x v="8"/>
    <n v="150"/>
    <n v="0.7"/>
    <n v="0.4"/>
    <n v="0.48"/>
    <n v="0.47000000000000003"/>
  </r>
  <r>
    <x v="4"/>
    <n v="133"/>
    <x v="10"/>
    <n v="86"/>
    <n v="0.6"/>
    <n v="0.4"/>
    <n v="0.46999999999999992"/>
    <n v="0.48"/>
  </r>
  <r>
    <x v="16"/>
    <n v="154"/>
    <x v="11"/>
    <n v="149"/>
    <n v="0.5"/>
    <n v="0.4"/>
    <n v="0.53"/>
    <n v="0.45"/>
  </r>
  <r>
    <x v="7"/>
    <n v="207"/>
    <x v="13"/>
    <n v="120"/>
    <n v="0.7"/>
    <n v="0.5"/>
    <n v="0.54"/>
    <n v="0.47000000000000003"/>
  </r>
  <r>
    <x v="8"/>
    <n v="166"/>
    <x v="17"/>
    <n v="146"/>
    <n v="0.7"/>
    <n v="0.8"/>
    <n v="0.57000000000000006"/>
    <n v="0.43"/>
  </r>
  <r>
    <x v="17"/>
    <n v="168"/>
    <x v="6"/>
    <n v="135"/>
    <n v="0.4"/>
    <n v="0.4"/>
    <n v="0.53"/>
    <n v="0.54"/>
  </r>
  <r>
    <x v="2"/>
    <n v="150"/>
    <x v="4"/>
    <n v="138"/>
    <n v="0.3"/>
    <n v="0.1"/>
    <n v="0.5"/>
    <n v="0.51"/>
  </r>
  <r>
    <x v="3"/>
    <n v="163"/>
    <x v="0"/>
    <n v="144"/>
    <n v="0.8"/>
    <n v="0.5"/>
    <n v="0.52999999999999992"/>
    <n v="0.53"/>
  </r>
  <r>
    <x v="1"/>
    <n v="189"/>
    <x v="6"/>
    <n v="148"/>
    <n v="0.5"/>
    <n v="0.4"/>
    <n v="0.47000000000000003"/>
    <n v="0.54"/>
  </r>
  <r>
    <x v="15"/>
    <n v="177"/>
    <x v="2"/>
    <n v="122"/>
    <n v="0.4"/>
    <n v="0.3"/>
    <n v="0.47000000000000003"/>
    <n v="0.49000000000000005"/>
  </r>
  <r>
    <x v="11"/>
    <n v="151"/>
    <x v="3"/>
    <n v="122"/>
    <n v="0.5"/>
    <n v="0.7"/>
    <n v="0.54"/>
    <n v="0.48"/>
  </r>
  <r>
    <x v="4"/>
    <n v="141"/>
    <x v="14"/>
    <n v="137"/>
    <n v="0.6"/>
    <n v="0.3"/>
    <n v="0.46999999999999992"/>
    <n v="0.5"/>
  </r>
  <r>
    <x v="5"/>
    <n v="167"/>
    <x v="17"/>
    <n v="143"/>
    <n v="0.4"/>
    <n v="0.8"/>
    <n v="0.45"/>
    <n v="0.43"/>
  </r>
  <r>
    <x v="7"/>
    <n v="160"/>
    <x v="15"/>
    <n v="146"/>
    <n v="0.7"/>
    <n v="0.7"/>
    <n v="0.54"/>
    <n v="0.57000000000000006"/>
  </r>
  <r>
    <x v="17"/>
    <n v="156"/>
    <x v="1"/>
    <n v="106"/>
    <n v="0.4"/>
    <n v="0.5"/>
    <n v="0.53"/>
    <n v="0.47000000000000003"/>
  </r>
  <r>
    <x v="0"/>
    <n v="142"/>
    <x v="4"/>
    <n v="111"/>
    <n v="0.4"/>
    <n v="0.1"/>
    <n v="0.48"/>
    <n v="0.51"/>
  </r>
  <r>
    <x v="6"/>
    <n v="150"/>
    <x v="5"/>
    <n v="124"/>
    <n v="0.8"/>
    <n v="0.4"/>
    <n v="0.43"/>
    <n v="0.53"/>
  </r>
  <r>
    <x v="10"/>
    <n v="175"/>
    <x v="2"/>
    <n v="137"/>
    <n v="0.5"/>
    <n v="0.3"/>
    <n v="0.47000000000000003"/>
    <n v="0.49000000000000005"/>
  </r>
  <r>
    <x v="16"/>
    <n v="163"/>
    <x v="2"/>
    <n v="140"/>
    <n v="0.5"/>
    <n v="0.3"/>
    <n v="0.53"/>
    <n v="0.49000000000000005"/>
  </r>
  <r>
    <x v="14"/>
    <n v="154"/>
    <x v="16"/>
    <n v="134"/>
    <n v="0.4"/>
    <n v="0.8"/>
    <n v="0.54"/>
    <n v="0.52999999999999992"/>
  </r>
  <r>
    <x v="15"/>
    <n v="167"/>
    <x v="13"/>
    <n v="159"/>
    <n v="0.4"/>
    <n v="0.5"/>
    <n v="0.47000000000000003"/>
    <n v="0.47000000000000003"/>
  </r>
  <r>
    <x v="9"/>
    <n v="174"/>
    <x v="14"/>
    <n v="119"/>
    <n v="0.7"/>
    <n v="0.3"/>
    <n v="0.48"/>
    <n v="0.5"/>
  </r>
  <r>
    <x v="5"/>
    <n v="165"/>
    <x v="12"/>
    <n v="134"/>
    <n v="0.4"/>
    <n v="0.6"/>
    <n v="0.45"/>
    <n v="0.46999999999999992"/>
  </r>
  <r>
    <x v="6"/>
    <n v="184"/>
    <x v="7"/>
    <n v="157"/>
    <n v="0.8"/>
    <n v="0.5"/>
    <n v="0.43"/>
    <n v="0.54"/>
  </r>
  <r>
    <x v="8"/>
    <n v="152"/>
    <x v="10"/>
    <n v="146"/>
    <n v="0.7"/>
    <n v="0.4"/>
    <n v="0.57000000000000006"/>
    <n v="0.48"/>
  </r>
  <r>
    <x v="17"/>
    <n v="183"/>
    <x v="9"/>
    <n v="157"/>
    <n v="0.4"/>
    <n v="0.7"/>
    <n v="0.53"/>
    <n v="0.54"/>
  </r>
  <r>
    <x v="10"/>
    <n v="184"/>
    <x v="4"/>
    <n v="136"/>
    <n v="0.5"/>
    <n v="0.1"/>
    <n v="0.47000000000000003"/>
    <n v="0.51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s v=""/>
    <s v=""/>
    <e v="#DIV/0!"/>
    <e v="#DIV/0!"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  <r>
    <x v="18"/>
    <m/>
    <x v="1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1">
  <r>
    <x v="0"/>
    <s v=""/>
    <e v="#DIV/0!"/>
    <e v="#DIV/0!"/>
    <n v="0"/>
    <e v="#VALUE!"/>
  </r>
  <r>
    <x v="1"/>
    <n v="0.4"/>
    <n v="0.48"/>
    <n v="0.48399999999999999"/>
    <n v="10"/>
    <n v="0.46099999999999997"/>
  </r>
  <r>
    <x v="2"/>
    <n v="0.5"/>
    <n v="0.47000000000000003"/>
    <n v="0.48200000000000004"/>
    <n v="10"/>
    <n v="0.48049999999999998"/>
  </r>
  <r>
    <x v="3"/>
    <n v="0.3"/>
    <n v="0.5"/>
    <n v="0.503"/>
    <n v="10"/>
    <n v="0.45074999999999998"/>
  </r>
  <r>
    <x v="4"/>
    <n v="0.8"/>
    <n v="0.52999999999999992"/>
    <n v="0.5069999999999999"/>
    <n v="10"/>
    <n v="0.59175"/>
  </r>
  <r>
    <x v="5"/>
    <n v="0.6"/>
    <n v="0.46999999999999992"/>
    <n v="0.49099999999999994"/>
    <n v="10"/>
    <n v="0.50774999999999992"/>
  </r>
  <r>
    <x v="6"/>
    <n v="0.4"/>
    <n v="0.45"/>
    <n v="0.45999999999999996"/>
    <n v="10"/>
    <n v="0.44"/>
  </r>
  <r>
    <x v="7"/>
    <n v="0.8"/>
    <n v="0.43"/>
    <n v="0.49400000000000011"/>
    <n v="10"/>
    <n v="0.53850000000000009"/>
  </r>
  <r>
    <x v="8"/>
    <n v="0.7"/>
    <n v="0.54"/>
    <n v="0.51700000000000002"/>
    <n v="10"/>
    <n v="0.57425000000000004"/>
  </r>
  <r>
    <x v="9"/>
    <n v="0.7"/>
    <n v="0.57000000000000006"/>
    <n v="0.51300000000000001"/>
    <n v="10"/>
    <n v="0.58825000000000005"/>
  </r>
  <r>
    <x v="10"/>
    <n v="0.7"/>
    <n v="0.48"/>
    <n v="0.503"/>
    <n v="10"/>
    <n v="0.54074999999999995"/>
  </r>
  <r>
    <x v="11"/>
    <n v="0.5"/>
    <n v="0.47000000000000003"/>
    <n v="0.48100000000000004"/>
    <n v="10"/>
    <n v="0.48025000000000001"/>
  </r>
  <r>
    <x v="12"/>
    <n v="0.5"/>
    <n v="0.54"/>
    <n v="0.51300000000000001"/>
    <n v="10"/>
    <n v="0.52324999999999999"/>
  </r>
  <r>
    <x v="13"/>
    <n v="0.3"/>
    <n v="0.49000000000000005"/>
    <n v="0.48900000000000005"/>
    <n v="10"/>
    <n v="0.44225000000000003"/>
  </r>
  <r>
    <x v="14"/>
    <n v="0.1"/>
    <n v="0.51"/>
    <n v="0.50399999999999989"/>
    <n v="10"/>
    <n v="0.40600000000000003"/>
  </r>
  <r>
    <x v="15"/>
    <n v="0.4"/>
    <n v="0.54"/>
    <n v="0.53200000000000003"/>
    <n v="10"/>
    <n v="0.503"/>
  </r>
  <r>
    <x v="16"/>
    <n v="0.4"/>
    <n v="0.47000000000000003"/>
    <n v="0.47599999999999998"/>
    <n v="10"/>
    <n v="0.45400000000000001"/>
  </r>
  <r>
    <x v="17"/>
    <n v="0.5"/>
    <n v="0.53"/>
    <n v="0.52300000000000002"/>
    <n v="10"/>
    <n v="0.52075000000000005"/>
  </r>
  <r>
    <x v="18"/>
    <n v="0.4"/>
    <n v="0.53"/>
    <n v="0.52000000000000013"/>
    <n v="10"/>
    <n v="0.495"/>
  </r>
  <r>
    <x v="19"/>
    <s v=""/>
    <e v="#DIV/0!"/>
    <e v="#N/A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0"/>
    <s v=""/>
    <e v="#DIV/0!"/>
    <e v="#DIV/0!"/>
    <n v="0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  <r>
    <x v="21"/>
    <e v="#VALUE!"/>
    <e v="#VALUE!"/>
    <e v="#VALUE!"/>
    <e v="#VALUE!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PI Output" cacheId="28" applyNumberFormats="0" applyBorderFormats="0" applyFontFormats="0" applyPatternFormats="0" applyAlignmentFormats="0" applyWidthHeightFormats="1" dataCaption="Values" updatedVersion="4" minRefreshableVersion="3" preserveFormatting="0" rowGrandTotals="0" colGrandTotals="0" itemPrintTitles="1" createdVersion="4" indent="0" outline="1" outlineData="1" chartFormat="2">
  <location ref="B1:D19" firstHeaderRow="0" firstDataRow="1" firstDataCol="1"/>
  <pivotFields count="6">
    <pivotField axis="axisRow" showAll="0" sortType="descending">
      <items count="23">
        <item h="1" x="21"/>
        <item x="1"/>
        <item x="14"/>
        <item x="9"/>
        <item x="13"/>
        <item x="11"/>
        <item x="17"/>
        <item x="7"/>
        <item x="6"/>
        <item x="5"/>
        <item x="16"/>
        <item x="3"/>
        <item x="2"/>
        <item x="12"/>
        <item x="15"/>
        <item x="18"/>
        <item x="4"/>
        <item x="8"/>
        <item x="10"/>
        <item h="1" x="0"/>
        <item h="1" x="20"/>
        <item h="1" x="1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dataField="1" showAll="0"/>
    <pivotField dataField="1" showAll="0" defaultSubtotal="0"/>
  </pivotFields>
  <rowFields count="1">
    <field x="0"/>
  </rowFields>
  <rowItems count="18">
    <i>
      <x v="16"/>
    </i>
    <i>
      <x v="3"/>
    </i>
    <i>
      <x v="17"/>
    </i>
    <i>
      <x v="18"/>
    </i>
    <i>
      <x v="7"/>
    </i>
    <i>
      <x v="13"/>
    </i>
    <i>
      <x v="6"/>
    </i>
    <i>
      <x v="9"/>
    </i>
    <i>
      <x v="14"/>
    </i>
    <i>
      <x v="15"/>
    </i>
    <i>
      <x v="12"/>
    </i>
    <i>
      <x v="5"/>
    </i>
    <i>
      <x v="1"/>
    </i>
    <i>
      <x v="10"/>
    </i>
    <i>
      <x v="11"/>
    </i>
    <i>
      <x v="4"/>
    </i>
    <i>
      <x v="8"/>
    </i>
    <i>
      <x v="2"/>
    </i>
  </rowItems>
  <colFields count="1">
    <field x="-2"/>
  </colFields>
  <colItems count="2">
    <i>
      <x/>
    </i>
    <i i="1">
      <x v="1"/>
    </i>
  </colItems>
  <dataFields count="2">
    <dataField name="Games" fld="4" baseField="0" baseItem="21"/>
    <dataField name="RPI" fld="5" subtotal="average" baseField="0" baseItem="21" numFmtId="165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5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L_Pivot" cacheId="2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D1:E20" firstHeaderRow="1" firstDataRow="1" firstDataCol="1"/>
  <pivotFields count="10">
    <pivotField showAll="0"/>
    <pivotField showAll="0"/>
    <pivotField axis="axisRow" dataField="1" showAll="0">
      <items count="137">
        <item m="1" x="21"/>
        <item m="1" x="106"/>
        <item m="1" x="83"/>
        <item m="1" x="103"/>
        <item m="1" x="65"/>
        <item m="1" x="120"/>
        <item m="1" x="57"/>
        <item m="1" x="34"/>
        <item m="1" x="77"/>
        <item m="1" x="24"/>
        <item m="1" x="89"/>
        <item m="1" x="93"/>
        <item m="1" x="87"/>
        <item m="1" x="56"/>
        <item m="1" x="128"/>
        <item m="1" x="63"/>
        <item m="1" x="84"/>
        <item m="1" x="28"/>
        <item m="1" x="118"/>
        <item m="1" x="31"/>
        <item m="1" x="54"/>
        <item m="1" x="75"/>
        <item m="1" x="45"/>
        <item m="1" x="126"/>
        <item m="1" x="62"/>
        <item m="1" x="107"/>
        <item m="1" x="115"/>
        <item m="1" x="38"/>
        <item m="1" x="99"/>
        <item m="1" x="41"/>
        <item m="1" x="130"/>
        <item m="1" x="42"/>
        <item m="1" x="70"/>
        <item m="1" x="82"/>
        <item m="1" x="104"/>
        <item m="1" x="90"/>
        <item m="1" x="112"/>
        <item m="1" x="29"/>
        <item m="1" x="80"/>
        <item m="1" x="78"/>
        <item m="1" x="129"/>
        <item m="1" x="96"/>
        <item m="1" x="79"/>
        <item m="1" x="134"/>
        <item m="1" x="39"/>
        <item m="1" x="88"/>
        <item m="1" x="101"/>
        <item m="1" x="122"/>
        <item m="1" x="48"/>
        <item m="1" x="86"/>
        <item m="1" x="30"/>
        <item m="1" x="124"/>
        <item m="1" x="50"/>
        <item m="1" x="127"/>
        <item m="1" x="125"/>
        <item m="1" x="116"/>
        <item m="1" x="91"/>
        <item m="1" x="44"/>
        <item m="1" x="73"/>
        <item m="1" x="49"/>
        <item m="1" x="133"/>
        <item m="1" x="25"/>
        <item m="1" x="123"/>
        <item m="1" x="95"/>
        <item m="1" x="53"/>
        <item m="1" x="67"/>
        <item m="1" x="27"/>
        <item m="1" x="43"/>
        <item m="1" x="59"/>
        <item m="1" x="22"/>
        <item m="1" x="105"/>
        <item m="1" x="46"/>
        <item m="1" x="60"/>
        <item m="1" x="40"/>
        <item m="1" x="72"/>
        <item m="1" x="37"/>
        <item m="1" x="47"/>
        <item m="1" x="51"/>
        <item m="1" x="33"/>
        <item m="1" x="19"/>
        <item m="1" x="69"/>
        <item m="1" x="58"/>
        <item m="1" x="35"/>
        <item m="1" x="131"/>
        <item m="1" x="92"/>
        <item m="1" x="111"/>
        <item m="1" x="36"/>
        <item m="1" x="102"/>
        <item m="1" x="135"/>
        <item m="1" x="117"/>
        <item m="1" x="81"/>
        <item m="1" x="121"/>
        <item m="1" x="114"/>
        <item m="1" x="110"/>
        <item m="1" x="94"/>
        <item m="1" x="108"/>
        <item m="1" x="97"/>
        <item m="1" x="85"/>
        <item m="1" x="23"/>
        <item m="1" x="66"/>
        <item m="1" x="26"/>
        <item m="1" x="52"/>
        <item m="1" x="64"/>
        <item m="1" x="20"/>
        <item m="1" x="109"/>
        <item m="1" x="119"/>
        <item m="1" x="71"/>
        <item m="1" x="98"/>
        <item m="1" x="76"/>
        <item m="1" x="74"/>
        <item m="1" x="61"/>
        <item m="1" x="32"/>
        <item m="1" x="113"/>
        <item m="1" x="100"/>
        <item m="1" x="55"/>
        <item m="1" x="68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32"/>
        <item x="17"/>
        <item t="default"/>
      </items>
    </pivotField>
    <pivotField showAl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9"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</rowItems>
  <colItems count="1">
    <i/>
  </colItems>
  <dataFields count="1">
    <dataField name="Losses" fld="2" subtotal="count" baseField="2" baseItem="0"/>
  </dataField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W_Pivot" cacheId="2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>
  <location ref="A1:B20" firstHeaderRow="1" firstDataRow="1" firstDataCol="1"/>
  <pivotFields count="10">
    <pivotField axis="axisRow" dataField="1" compact="0" outline="0" showAll="0">
      <items count="119">
        <item m="1" x="21"/>
        <item m="1" x="94"/>
        <item m="1" x="74"/>
        <item m="1" x="91"/>
        <item m="1" x="59"/>
        <item m="1" x="105"/>
        <item m="1" x="30"/>
        <item m="1" x="71"/>
        <item m="1" x="106"/>
        <item m="1" x="79"/>
        <item m="1" x="76"/>
        <item m="1" x="111"/>
        <item m="1" x="57"/>
        <item m="1" x="103"/>
        <item m="1" x="50"/>
        <item m="1" x="68"/>
        <item m="1" x="39"/>
        <item m="1" x="95"/>
        <item m="1" x="69"/>
        <item m="1" x="101"/>
        <item m="1" x="34"/>
        <item m="1" x="87"/>
        <item m="1" x="36"/>
        <item m="1" x="114"/>
        <item m="1" x="37"/>
        <item m="1" x="63"/>
        <item m="1" x="112"/>
        <item m="1" x="73"/>
        <item m="1" x="92"/>
        <item m="1" x="80"/>
        <item m="1" x="26"/>
        <item m="1" x="72"/>
        <item m="1" x="113"/>
        <item m="1" x="85"/>
        <item m="1" x="116"/>
        <item m="1" x="35"/>
        <item m="1" x="77"/>
        <item m="1" x="89"/>
        <item m="1" x="43"/>
        <item m="1" x="27"/>
        <item m="1" x="45"/>
        <item m="1" x="110"/>
        <item m="1" x="108"/>
        <item m="1" x="46"/>
        <item m="1" x="81"/>
        <item m="1" x="66"/>
        <item m="1" x="44"/>
        <item m="1" x="115"/>
        <item m="1" x="23"/>
        <item m="1" x="107"/>
        <item m="1" x="84"/>
        <item m="1" x="49"/>
        <item m="1" x="61"/>
        <item m="1" x="25"/>
        <item m="1" x="38"/>
        <item m="1" x="22"/>
        <item m="1" x="93"/>
        <item m="1" x="41"/>
        <item m="1" x="53"/>
        <item m="1" x="109"/>
        <item m="1" x="65"/>
        <item m="1" x="33"/>
        <item m="1" x="42"/>
        <item m="1" x="47"/>
        <item m="1" x="29"/>
        <item m="1" x="102"/>
        <item m="1" x="19"/>
        <item m="1" x="62"/>
        <item m="1" x="52"/>
        <item m="1" x="32"/>
        <item m="1" x="82"/>
        <item m="1" x="98"/>
        <item m="1" x="90"/>
        <item m="1" x="117"/>
        <item m="1" x="55"/>
        <item m="1" x="31"/>
        <item m="1" x="56"/>
        <item m="1" x="83"/>
        <item m="1" x="100"/>
        <item m="1" x="75"/>
        <item m="1" x="60"/>
        <item m="1" x="24"/>
        <item m="1" x="48"/>
        <item m="1" x="58"/>
        <item m="1" x="20"/>
        <item m="1" x="96"/>
        <item m="1" x="104"/>
        <item m="1" x="64"/>
        <item m="1" x="86"/>
        <item m="1" x="70"/>
        <item m="1" x="67"/>
        <item m="1" x="54"/>
        <item m="1" x="28"/>
        <item m="1" x="99"/>
        <item m="1" x="88"/>
        <item m="1" x="40"/>
        <item m="1" x="51"/>
        <item m="1" x="97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78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0"/>
  </rowFields>
  <rowItems count="19"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</rowItems>
  <colItems count="1">
    <i/>
  </colItems>
  <dataFields count="1">
    <dataField name="Wins" fld="0" subtotal="count" baseField="0" baseItem="0"/>
  </dataField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Losses_Array" cacheId="2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G1:J20" firstHeaderRow="0" firstDataRow="1" firstDataCol="1"/>
  <pivotFields count="10">
    <pivotField compact="0" outline="0" showAll="0">
      <items count="119">
        <item m="1" x="21"/>
        <item m="1" x="94"/>
        <item m="1" x="74"/>
        <item m="1" x="91"/>
        <item m="1" x="59"/>
        <item m="1" x="105"/>
        <item m="1" x="30"/>
        <item m="1" x="71"/>
        <item m="1" x="106"/>
        <item m="1" x="79"/>
        <item m="1" x="76"/>
        <item m="1" x="111"/>
        <item m="1" x="57"/>
        <item m="1" x="103"/>
        <item m="1" x="50"/>
        <item m="1" x="68"/>
        <item m="1" x="39"/>
        <item m="1" x="95"/>
        <item m="1" x="69"/>
        <item m="1" x="101"/>
        <item m="1" x="34"/>
        <item m="1" x="87"/>
        <item m="1" x="36"/>
        <item m="1" x="114"/>
        <item m="1" x="37"/>
        <item m="1" x="63"/>
        <item m="1" x="112"/>
        <item m="1" x="73"/>
        <item m="1" x="92"/>
        <item m="1" x="80"/>
        <item m="1" x="26"/>
        <item m="1" x="72"/>
        <item m="1" x="113"/>
        <item m="1" x="85"/>
        <item m="1" x="116"/>
        <item m="1" x="35"/>
        <item m="1" x="77"/>
        <item m="1" x="89"/>
        <item m="1" x="43"/>
        <item m="1" x="27"/>
        <item m="1" x="45"/>
        <item m="1" x="110"/>
        <item m="1" x="108"/>
        <item m="1" x="46"/>
        <item m="1" x="81"/>
        <item m="1" x="66"/>
        <item m="1" x="44"/>
        <item m="1" x="115"/>
        <item m="1" x="23"/>
        <item m="1" x="107"/>
        <item m="1" x="84"/>
        <item m="1" x="49"/>
        <item m="1" x="61"/>
        <item m="1" x="25"/>
        <item m="1" x="38"/>
        <item m="1" x="22"/>
        <item m="1" x="93"/>
        <item m="1" x="41"/>
        <item m="1" x="53"/>
        <item m="1" x="109"/>
        <item m="1" x="65"/>
        <item m="1" x="33"/>
        <item m="1" x="42"/>
        <item m="1" x="47"/>
        <item m="1" x="29"/>
        <item m="1" x="102"/>
        <item m="1" x="19"/>
        <item m="1" x="62"/>
        <item m="1" x="52"/>
        <item m="1" x="32"/>
        <item m="1" x="82"/>
        <item m="1" x="98"/>
        <item m="1" x="90"/>
        <item m="1" x="117"/>
        <item m="1" x="55"/>
        <item m="1" x="31"/>
        <item m="1" x="56"/>
        <item m="1" x="83"/>
        <item m="1" x="100"/>
        <item m="1" x="75"/>
        <item m="1" x="60"/>
        <item m="1" x="24"/>
        <item m="1" x="48"/>
        <item m="1" x="58"/>
        <item m="1" x="20"/>
        <item m="1" x="96"/>
        <item m="1" x="104"/>
        <item m="1" x="64"/>
        <item m="1" x="86"/>
        <item m="1" x="70"/>
        <item m="1" x="67"/>
        <item m="1" x="54"/>
        <item m="1" x="28"/>
        <item m="1" x="99"/>
        <item m="1" x="88"/>
        <item m="1" x="40"/>
        <item m="1" x="51"/>
        <item m="1" x="97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7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>
      <items count="137">
        <item m="1" x="21"/>
        <item m="1" x="106"/>
        <item m="1" x="83"/>
        <item m="1" x="103"/>
        <item m="1" x="65"/>
        <item m="1" x="120"/>
        <item m="1" x="57"/>
        <item m="1" x="34"/>
        <item m="1" x="77"/>
        <item m="1" x="24"/>
        <item m="1" x="89"/>
        <item m="1" x="93"/>
        <item m="1" x="87"/>
        <item m="1" x="56"/>
        <item m="1" x="128"/>
        <item m="1" x="63"/>
        <item m="1" x="84"/>
        <item m="1" x="28"/>
        <item m="1" x="118"/>
        <item m="1" x="31"/>
        <item m="1" x="54"/>
        <item m="1" x="75"/>
        <item m="1" x="45"/>
        <item m="1" x="126"/>
        <item m="1" x="62"/>
        <item m="1" x="107"/>
        <item m="1" x="115"/>
        <item m="1" x="38"/>
        <item m="1" x="99"/>
        <item m="1" x="41"/>
        <item m="1" x="130"/>
        <item m="1" x="42"/>
        <item m="1" x="70"/>
        <item m="1" x="82"/>
        <item m="1" x="104"/>
        <item m="1" x="90"/>
        <item m="1" x="112"/>
        <item m="1" x="29"/>
        <item m="1" x="80"/>
        <item m="1" x="78"/>
        <item m="1" x="129"/>
        <item m="1" x="96"/>
        <item m="1" x="79"/>
        <item m="1" x="134"/>
        <item m="1" x="39"/>
        <item m="1" x="88"/>
        <item m="1" x="101"/>
        <item m="1" x="122"/>
        <item m="1" x="48"/>
        <item m="1" x="86"/>
        <item m="1" x="30"/>
        <item m="1" x="124"/>
        <item m="1" x="50"/>
        <item m="1" x="127"/>
        <item m="1" x="125"/>
        <item m="1" x="116"/>
        <item m="1" x="91"/>
        <item m="1" x="44"/>
        <item m="1" x="73"/>
        <item m="1" x="49"/>
        <item m="1" x="133"/>
        <item m="1" x="25"/>
        <item m="1" x="123"/>
        <item m="1" x="95"/>
        <item m="1" x="53"/>
        <item m="1" x="67"/>
        <item m="1" x="27"/>
        <item m="1" x="43"/>
        <item m="1" x="59"/>
        <item m="1" x="22"/>
        <item m="1" x="105"/>
        <item m="1" x="46"/>
        <item m="1" x="60"/>
        <item m="1" x="40"/>
        <item m="1" x="72"/>
        <item m="1" x="37"/>
        <item m="1" x="47"/>
        <item m="1" x="51"/>
        <item m="1" x="33"/>
        <item m="1" x="19"/>
        <item m="1" x="69"/>
        <item m="1" x="58"/>
        <item m="1" x="35"/>
        <item m="1" x="131"/>
        <item m="1" x="92"/>
        <item m="1" x="111"/>
        <item m="1" x="36"/>
        <item m="1" x="102"/>
        <item m="1" x="135"/>
        <item m="1" x="117"/>
        <item m="1" x="81"/>
        <item m="1" x="121"/>
        <item m="1" x="114"/>
        <item m="1" x="110"/>
        <item m="1" x="94"/>
        <item m="1" x="108"/>
        <item m="1" x="97"/>
        <item m="1" x="85"/>
        <item m="1" x="23"/>
        <item m="1" x="66"/>
        <item m="1" x="26"/>
        <item m="1" x="52"/>
        <item m="1" x="64"/>
        <item m="1" x="20"/>
        <item m="1" x="109"/>
        <item m="1" x="119"/>
        <item m="1" x="71"/>
        <item m="1" x="98"/>
        <item m="1" x="76"/>
        <item m="1" x="74"/>
        <item m="1" x="61"/>
        <item m="1" x="32"/>
        <item m="1" x="113"/>
        <item m="1" x="100"/>
        <item m="1" x="55"/>
        <item m="1" x="68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32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9"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L Team" fld="2" subtotal="count" baseField="0" baseItem="0"/>
    <dataField name="Average of W WP" fld="4" subtotal="average" baseField="0" baseItem="29" numFmtId="164"/>
    <dataField name="Sum of G * W WP" fld="8" baseField="0" baseItem="5" numFmtId="164"/>
  </dataFields>
  <formats count="3">
    <format dxfId="22">
      <pivotArea field="2" type="button" dataOnly="0" labelOnly="1" outline="0" axis="axisRow" fieldPosition="0"/>
    </format>
    <format dxfId="21">
      <pivotArea field="0" type="button" dataOnly="0" labelOnly="1" outline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Wins_Pivot" cacheId="2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A1:D20" firstHeaderRow="0" firstDataRow="1" firstDataCol="1"/>
  <pivotFields count="10">
    <pivotField axis="axisRow" dataField="1" compact="0" outline="0" showAll="0">
      <items count="119">
        <item m="1" x="21"/>
        <item m="1" x="94"/>
        <item m="1" x="74"/>
        <item m="1" x="91"/>
        <item m="1" x="59"/>
        <item m="1" x="105"/>
        <item m="1" x="30"/>
        <item m="1" x="71"/>
        <item m="1" x="106"/>
        <item m="1" x="79"/>
        <item m="1" x="76"/>
        <item m="1" x="111"/>
        <item m="1" x="57"/>
        <item m="1" x="103"/>
        <item m="1" x="50"/>
        <item m="1" x="68"/>
        <item m="1" x="39"/>
        <item m="1" x="95"/>
        <item m="1" x="69"/>
        <item m="1" x="101"/>
        <item m="1" x="34"/>
        <item m="1" x="87"/>
        <item m="1" x="36"/>
        <item m="1" x="114"/>
        <item m="1" x="37"/>
        <item m="1" x="63"/>
        <item m="1" x="112"/>
        <item m="1" x="73"/>
        <item m="1" x="92"/>
        <item m="1" x="80"/>
        <item m="1" x="26"/>
        <item m="1" x="72"/>
        <item m="1" x="113"/>
        <item m="1" x="85"/>
        <item m="1" x="116"/>
        <item m="1" x="35"/>
        <item m="1" x="77"/>
        <item m="1" x="89"/>
        <item m="1" x="43"/>
        <item m="1" x="27"/>
        <item m="1" x="45"/>
        <item m="1" x="110"/>
        <item m="1" x="108"/>
        <item m="1" x="46"/>
        <item m="1" x="81"/>
        <item m="1" x="66"/>
        <item m="1" x="44"/>
        <item m="1" x="115"/>
        <item m="1" x="23"/>
        <item m="1" x="107"/>
        <item m="1" x="84"/>
        <item m="1" x="49"/>
        <item m="1" x="61"/>
        <item m="1" x="25"/>
        <item m="1" x="38"/>
        <item m="1" x="22"/>
        <item m="1" x="93"/>
        <item m="1" x="41"/>
        <item m="1" x="53"/>
        <item m="1" x="109"/>
        <item m="1" x="65"/>
        <item m="1" x="33"/>
        <item m="1" x="42"/>
        <item m="1" x="47"/>
        <item m="1" x="29"/>
        <item m="1" x="102"/>
        <item m="1" x="19"/>
        <item m="1" x="62"/>
        <item m="1" x="52"/>
        <item m="1" x="32"/>
        <item m="1" x="82"/>
        <item m="1" x="98"/>
        <item m="1" x="90"/>
        <item m="1" x="117"/>
        <item m="1" x="55"/>
        <item m="1" x="31"/>
        <item m="1" x="56"/>
        <item m="1" x="83"/>
        <item m="1" x="100"/>
        <item m="1" x="75"/>
        <item m="1" x="60"/>
        <item m="1" x="24"/>
        <item m="1" x="48"/>
        <item m="1" x="58"/>
        <item m="1" x="20"/>
        <item m="1" x="96"/>
        <item m="1" x="104"/>
        <item m="1" x="64"/>
        <item m="1" x="86"/>
        <item m="1" x="70"/>
        <item m="1" x="67"/>
        <item m="1" x="54"/>
        <item m="1" x="28"/>
        <item m="1" x="99"/>
        <item m="1" x="88"/>
        <item m="1" x="40"/>
        <item m="1" x="51"/>
        <item m="1" x="97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7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7">
        <item m="1" x="21"/>
        <item m="1" x="106"/>
        <item m="1" x="83"/>
        <item m="1" x="103"/>
        <item m="1" x="65"/>
        <item m="1" x="120"/>
        <item m="1" x="57"/>
        <item m="1" x="34"/>
        <item m="1" x="77"/>
        <item m="1" x="24"/>
        <item m="1" x="89"/>
        <item m="1" x="93"/>
        <item m="1" x="87"/>
        <item m="1" x="56"/>
        <item m="1" x="128"/>
        <item m="1" x="63"/>
        <item m="1" x="84"/>
        <item m="1" x="28"/>
        <item m="1" x="118"/>
        <item m="1" x="31"/>
        <item m="1" x="54"/>
        <item m="1" x="75"/>
        <item m="1" x="45"/>
        <item m="1" x="126"/>
        <item m="1" x="62"/>
        <item m="1" x="107"/>
        <item m="1" x="115"/>
        <item m="1" x="38"/>
        <item m="1" x="99"/>
        <item m="1" x="41"/>
        <item m="1" x="130"/>
        <item m="1" x="42"/>
        <item m="1" x="70"/>
        <item m="1" x="82"/>
        <item m="1" x="104"/>
        <item m="1" x="90"/>
        <item m="1" x="112"/>
        <item m="1" x="29"/>
        <item m="1" x="80"/>
        <item m="1" x="78"/>
        <item m="1" x="129"/>
        <item m="1" x="96"/>
        <item m="1" x="79"/>
        <item m="1" x="134"/>
        <item m="1" x="39"/>
        <item m="1" x="88"/>
        <item m="1" x="101"/>
        <item m="1" x="122"/>
        <item m="1" x="48"/>
        <item m="1" x="86"/>
        <item m="1" x="30"/>
        <item m="1" x="124"/>
        <item m="1" x="50"/>
        <item m="1" x="127"/>
        <item m="1" x="125"/>
        <item m="1" x="116"/>
        <item m="1" x="91"/>
        <item m="1" x="44"/>
        <item m="1" x="73"/>
        <item m="1" x="49"/>
        <item m="1" x="133"/>
        <item m="1" x="25"/>
        <item m="1" x="123"/>
        <item m="1" x="95"/>
        <item m="1" x="53"/>
        <item m="1" x="67"/>
        <item m="1" x="27"/>
        <item m="1" x="43"/>
        <item m="1" x="59"/>
        <item m="1" x="22"/>
        <item m="1" x="105"/>
        <item m="1" x="46"/>
        <item m="1" x="60"/>
        <item m="1" x="40"/>
        <item m="1" x="72"/>
        <item m="1" x="37"/>
        <item m="1" x="47"/>
        <item m="1" x="51"/>
        <item m="1" x="33"/>
        <item m="1" x="19"/>
        <item m="1" x="69"/>
        <item m="1" x="58"/>
        <item m="1" x="35"/>
        <item m="1" x="131"/>
        <item m="1" x="92"/>
        <item m="1" x="111"/>
        <item m="1" x="36"/>
        <item m="1" x="102"/>
        <item m="1" x="135"/>
        <item m="1" x="117"/>
        <item m="1" x="81"/>
        <item m="1" x="121"/>
        <item m="1" x="114"/>
        <item m="1" x="110"/>
        <item m="1" x="94"/>
        <item m="1" x="108"/>
        <item m="1" x="97"/>
        <item m="1" x="85"/>
        <item m="1" x="23"/>
        <item m="1" x="66"/>
        <item m="1" x="26"/>
        <item m="1" x="52"/>
        <item m="1" x="64"/>
        <item m="1" x="20"/>
        <item m="1" x="109"/>
        <item m="1" x="119"/>
        <item m="1" x="71"/>
        <item m="1" x="98"/>
        <item m="1" x="76"/>
        <item m="1" x="74"/>
        <item m="1" x="61"/>
        <item m="1" x="32"/>
        <item m="1" x="113"/>
        <item m="1" x="100"/>
        <item m="1" x="55"/>
        <item m="1" x="68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32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9"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W Team" fld="0" subtotal="count" baseField="0" baseItem="0"/>
    <dataField name="Average of L WP" fld="5" subtotal="average" baseField="2" baseItem="2" numFmtId="164"/>
    <dataField name="Sum of G * L WP" fld="9" baseField="2" baseItem="34" numFmtId="164"/>
  </dataFields>
  <formats count="3">
    <format dxfId="25">
      <pivotArea field="0" type="button" dataOnly="0" labelOnly="1" outline="0" axis="axisRow" fieldPosition="0"/>
    </format>
    <format dxfId="24">
      <pivotArea field="2" type="button" dataOnly="0" labelOnly="1" outline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6" cacheId="25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compact="0" outline="1" outlineData="1" compactData="0" multipleFieldFilters="0">
  <location ref="F1:H20" firstHeaderRow="0" firstDataRow="1" firstDataCol="1"/>
  <pivotFields count="10">
    <pivotField compact="0" subtotalTop="0" showAll="0" defaultSubtotal="0">
      <items count="118">
        <item m="1" x="21"/>
        <item m="1" x="94"/>
        <item m="1" x="74"/>
        <item m="1" x="91"/>
        <item m="1" x="59"/>
        <item m="1" x="105"/>
        <item m="1" x="30"/>
        <item m="1" x="71"/>
        <item m="1" x="106"/>
        <item m="1" x="79"/>
        <item m="1" x="76"/>
        <item m="1" x="111"/>
        <item m="1" x="57"/>
        <item m="1" x="103"/>
        <item m="1" x="50"/>
        <item m="1" x="68"/>
        <item m="1" x="39"/>
        <item m="1" x="95"/>
        <item m="1" x="69"/>
        <item m="1" x="101"/>
        <item m="1" x="34"/>
        <item m="1" x="87"/>
        <item m="1" x="36"/>
        <item m="1" x="114"/>
        <item m="1" x="37"/>
        <item m="1" x="63"/>
        <item m="1" x="112"/>
        <item m="1" x="73"/>
        <item m="1" x="92"/>
        <item m="1" x="80"/>
        <item m="1" x="26"/>
        <item m="1" x="72"/>
        <item m="1" x="113"/>
        <item m="1" x="85"/>
        <item m="1" x="116"/>
        <item m="1" x="35"/>
        <item m="1" x="77"/>
        <item m="1" x="89"/>
        <item m="1" x="43"/>
        <item m="1" x="27"/>
        <item m="1" x="45"/>
        <item m="1" x="110"/>
        <item m="1" x="108"/>
        <item m="1" x="46"/>
        <item m="1" x="81"/>
        <item m="1" x="66"/>
        <item m="1" x="44"/>
        <item m="1" x="115"/>
        <item m="1" x="23"/>
        <item m="1" x="107"/>
        <item m="1" x="84"/>
        <item m="1" x="49"/>
        <item m="1" x="61"/>
        <item m="1" x="25"/>
        <item m="1" x="38"/>
        <item m="1" x="22"/>
        <item m="1" x="93"/>
        <item m="1" x="41"/>
        <item m="1" x="53"/>
        <item m="1" x="109"/>
        <item m="1" x="65"/>
        <item m="1" x="33"/>
        <item m="1" x="42"/>
        <item m="1" x="47"/>
        <item m="1" x="29"/>
        <item m="1" x="102"/>
        <item m="1" x="19"/>
        <item m="1" x="62"/>
        <item m="1" x="52"/>
        <item m="1" x="32"/>
        <item m="1" x="82"/>
        <item m="1" x="98"/>
        <item m="1" x="90"/>
        <item m="1" x="117"/>
        <item m="1" x="55"/>
        <item m="1" x="31"/>
        <item m="1" x="56"/>
        <item m="1" x="83"/>
        <item m="1" x="100"/>
        <item m="1" x="75"/>
        <item m="1" x="60"/>
        <item m="1" x="24"/>
        <item m="1" x="48"/>
        <item m="1" x="58"/>
        <item m="1" x="20"/>
        <item m="1" x="96"/>
        <item m="1" x="104"/>
        <item m="1" x="64"/>
        <item m="1" x="86"/>
        <item m="1" x="70"/>
        <item m="1" x="67"/>
        <item m="1" x="54"/>
        <item m="1" x="28"/>
        <item m="1" x="99"/>
        <item m="1" x="88"/>
        <item m="1" x="40"/>
        <item m="1" x="51"/>
        <item m="1" x="97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subtotalTop="0" showAll="0" defaultSubtotal="0">
      <items count="136">
        <item m="1" x="21"/>
        <item m="1" x="106"/>
        <item m="1" x="83"/>
        <item m="1" x="103"/>
        <item m="1" x="65"/>
        <item m="1" x="120"/>
        <item m="1" x="57"/>
        <item m="1" x="34"/>
        <item m="1" x="77"/>
        <item m="1" x="24"/>
        <item m="1" x="89"/>
        <item m="1" x="93"/>
        <item m="1" x="87"/>
        <item m="1" x="56"/>
        <item m="1" x="128"/>
        <item m="1" x="63"/>
        <item m="1" x="84"/>
        <item m="1" x="28"/>
        <item m="1" x="118"/>
        <item m="1" x="31"/>
        <item m="1" x="54"/>
        <item m="1" x="75"/>
        <item m="1" x="45"/>
        <item m="1" x="126"/>
        <item m="1" x="62"/>
        <item m="1" x="107"/>
        <item m="1" x="115"/>
        <item m="1" x="38"/>
        <item m="1" x="99"/>
        <item m="1" x="41"/>
        <item m="1" x="130"/>
        <item m="1" x="42"/>
        <item m="1" x="70"/>
        <item m="1" x="82"/>
        <item m="1" x="104"/>
        <item m="1" x="90"/>
        <item m="1" x="112"/>
        <item m="1" x="29"/>
        <item m="1" x="80"/>
        <item m="1" x="78"/>
        <item m="1" x="129"/>
        <item m="1" x="96"/>
        <item m="1" x="79"/>
        <item m="1" x="134"/>
        <item m="1" x="39"/>
        <item m="1" x="88"/>
        <item m="1" x="101"/>
        <item m="1" x="122"/>
        <item m="1" x="48"/>
        <item m="1" x="86"/>
        <item m="1" x="30"/>
        <item m="1" x="124"/>
        <item m="1" x="50"/>
        <item m="1" x="127"/>
        <item m="1" x="125"/>
        <item m="1" x="116"/>
        <item m="1" x="91"/>
        <item m="1" x="44"/>
        <item m="1" x="73"/>
        <item m="1" x="49"/>
        <item m="1" x="133"/>
        <item m="1" x="25"/>
        <item m="1" x="123"/>
        <item m="1" x="95"/>
        <item m="1" x="53"/>
        <item m="1" x="67"/>
        <item m="1" x="27"/>
        <item m="1" x="43"/>
        <item m="1" x="59"/>
        <item m="1" x="22"/>
        <item m="1" x="105"/>
        <item m="1" x="46"/>
        <item m="1" x="60"/>
        <item m="1" x="40"/>
        <item m="1" x="72"/>
        <item m="1" x="37"/>
        <item m="1" x="47"/>
        <item m="1" x="51"/>
        <item m="1" x="33"/>
        <item m="1" x="19"/>
        <item m="1" x="69"/>
        <item m="1" x="58"/>
        <item m="1" x="35"/>
        <item m="1" x="131"/>
        <item m="1" x="92"/>
        <item m="1" x="111"/>
        <item m="1" x="36"/>
        <item m="1" x="102"/>
        <item m="1" x="135"/>
        <item m="1" x="117"/>
        <item m="1" x="81"/>
        <item m="1" x="121"/>
        <item m="1" x="114"/>
        <item m="1" x="110"/>
        <item m="1" x="94"/>
        <item m="1" x="108"/>
        <item m="1" x="97"/>
        <item m="1" x="85"/>
        <item m="1" x="23"/>
        <item m="1" x="66"/>
        <item m="1" x="26"/>
        <item m="1" x="52"/>
        <item m="1" x="64"/>
        <item m="1" x="20"/>
        <item m="1" x="109"/>
        <item m="1" x="119"/>
        <item m="1" x="71"/>
        <item m="1" x="98"/>
        <item m="1" x="76"/>
        <item m="1" x="74"/>
        <item m="1" x="61"/>
        <item m="1" x="32"/>
        <item m="1" x="113"/>
        <item m="1" x="100"/>
        <item m="1" x="55"/>
        <item m="1" x="68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32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9"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</rowItems>
  <colFields count="1">
    <field x="-2"/>
  </colFields>
  <colItems count="2">
    <i>
      <x/>
    </i>
    <i i="1">
      <x v="1"/>
    </i>
  </colItems>
  <dataFields count="2">
    <dataField name="Sum of L OWP" fld="7" baseField="2" baseItem="7" numFmtId="164"/>
    <dataField name="Count of L Team" fld="2" subtotal="count" baseField="0" baseItem="0" numFmtId="1"/>
  </dataFields>
  <formats count="8">
    <format dxfId="9">
      <pivotArea outline="0" collapsedLevelsAreSubtotals="1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field="2" type="button" dataOnly="0" labelOnly="1" outline="0" axis="axisRow" fieldPosition="0"/>
    </format>
    <format dxfId="5">
      <pivotArea field="0" type="button" dataOnly="0" labelOnly="1" outline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PivotTable5" cacheId="25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compact="0" outline="1" outlineData="1" compactData="0" multipleFieldFilters="0">
  <location ref="A1:C20" firstHeaderRow="0" firstDataRow="1" firstDataCol="1"/>
  <pivotFields count="10">
    <pivotField axis="axisRow" compact="0" subtotalTop="0" showAll="0">
      <items count="119">
        <item m="1" x="21"/>
        <item m="1" x="94"/>
        <item m="1" x="74"/>
        <item m="1" x="91"/>
        <item m="1" x="59"/>
        <item m="1" x="105"/>
        <item m="1" x="30"/>
        <item m="1" x="71"/>
        <item m="1" x="106"/>
        <item m="1" x="79"/>
        <item m="1" x="76"/>
        <item m="1" x="111"/>
        <item m="1" x="57"/>
        <item m="1" x="103"/>
        <item m="1" x="50"/>
        <item m="1" x="68"/>
        <item m="1" x="39"/>
        <item m="1" x="95"/>
        <item m="1" x="69"/>
        <item m="1" x="101"/>
        <item m="1" x="34"/>
        <item m="1" x="87"/>
        <item m="1" x="36"/>
        <item m="1" x="114"/>
        <item m="1" x="37"/>
        <item m="1" x="63"/>
        <item m="1" x="112"/>
        <item m="1" x="73"/>
        <item m="1" x="92"/>
        <item m="1" x="80"/>
        <item m="1" x="26"/>
        <item m="1" x="72"/>
        <item m="1" x="113"/>
        <item m="1" x="85"/>
        <item m="1" x="116"/>
        <item m="1" x="35"/>
        <item m="1" x="77"/>
        <item m="1" x="89"/>
        <item m="1" x="43"/>
        <item m="1" x="27"/>
        <item m="1" x="45"/>
        <item m="1" x="110"/>
        <item m="1" x="108"/>
        <item m="1" x="46"/>
        <item m="1" x="81"/>
        <item m="1" x="66"/>
        <item m="1" x="44"/>
        <item m="1" x="115"/>
        <item m="1" x="23"/>
        <item m="1" x="107"/>
        <item m="1" x="84"/>
        <item m="1" x="49"/>
        <item m="1" x="61"/>
        <item m="1" x="25"/>
        <item m="1" x="38"/>
        <item m="1" x="22"/>
        <item m="1" x="93"/>
        <item m="1" x="41"/>
        <item m="1" x="53"/>
        <item m="1" x="109"/>
        <item m="1" x="65"/>
        <item m="1" x="33"/>
        <item m="1" x="42"/>
        <item m="1" x="47"/>
        <item m="1" x="29"/>
        <item m="1" x="102"/>
        <item m="1" x="19"/>
        <item m="1" x="62"/>
        <item m="1" x="52"/>
        <item m="1" x="32"/>
        <item m="1" x="82"/>
        <item m="1" x="98"/>
        <item m="1" x="90"/>
        <item m="1" x="117"/>
        <item m="1" x="55"/>
        <item m="1" x="31"/>
        <item m="1" x="56"/>
        <item m="1" x="83"/>
        <item m="1" x="100"/>
        <item m="1" x="75"/>
        <item m="1" x="60"/>
        <item m="1" x="24"/>
        <item m="1" x="48"/>
        <item m="1" x="58"/>
        <item m="1" x="20"/>
        <item m="1" x="96"/>
        <item m="1" x="104"/>
        <item m="1" x="64"/>
        <item m="1" x="86"/>
        <item m="1" x="70"/>
        <item m="1" x="67"/>
        <item m="1" x="54"/>
        <item m="1" x="28"/>
        <item m="1" x="99"/>
        <item m="1" x="88"/>
        <item m="1" x="40"/>
        <item m="1" x="51"/>
        <item m="1" x="97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7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ubtotalTop="0" showAll="0">
      <items count="137">
        <item m="1" x="21"/>
        <item m="1" x="106"/>
        <item m="1" x="83"/>
        <item m="1" x="103"/>
        <item m="1" x="65"/>
        <item m="1" x="120"/>
        <item m="1" x="57"/>
        <item m="1" x="34"/>
        <item m="1" x="77"/>
        <item m="1" x="24"/>
        <item m="1" x="89"/>
        <item m="1" x="93"/>
        <item m="1" x="87"/>
        <item m="1" x="56"/>
        <item m="1" x="128"/>
        <item m="1" x="63"/>
        <item m="1" x="84"/>
        <item m="1" x="28"/>
        <item m="1" x="118"/>
        <item m="1" x="31"/>
        <item m="1" x="54"/>
        <item m="1" x="75"/>
        <item m="1" x="45"/>
        <item m="1" x="126"/>
        <item m="1" x="62"/>
        <item m="1" x="107"/>
        <item m="1" x="115"/>
        <item m="1" x="38"/>
        <item m="1" x="99"/>
        <item m="1" x="41"/>
        <item m="1" x="130"/>
        <item m="1" x="42"/>
        <item m="1" x="70"/>
        <item m="1" x="82"/>
        <item m="1" x="104"/>
        <item m="1" x="90"/>
        <item m="1" x="112"/>
        <item m="1" x="29"/>
        <item m="1" x="80"/>
        <item m="1" x="78"/>
        <item m="1" x="129"/>
        <item m="1" x="96"/>
        <item m="1" x="79"/>
        <item m="1" x="134"/>
        <item m="1" x="39"/>
        <item m="1" x="88"/>
        <item m="1" x="101"/>
        <item m="1" x="122"/>
        <item m="1" x="48"/>
        <item m="1" x="86"/>
        <item m="1" x="30"/>
        <item m="1" x="124"/>
        <item m="1" x="50"/>
        <item m="1" x="127"/>
        <item m="1" x="125"/>
        <item m="1" x="116"/>
        <item m="1" x="91"/>
        <item m="1" x="44"/>
        <item m="1" x="73"/>
        <item m="1" x="49"/>
        <item m="1" x="133"/>
        <item m="1" x="25"/>
        <item m="1" x="123"/>
        <item m="1" x="95"/>
        <item m="1" x="53"/>
        <item m="1" x="67"/>
        <item m="1" x="27"/>
        <item m="1" x="43"/>
        <item m="1" x="59"/>
        <item m="1" x="22"/>
        <item m="1" x="105"/>
        <item m="1" x="46"/>
        <item m="1" x="60"/>
        <item m="1" x="40"/>
        <item m="1" x="72"/>
        <item m="1" x="37"/>
        <item m="1" x="47"/>
        <item m="1" x="51"/>
        <item m="1" x="33"/>
        <item m="1" x="19"/>
        <item m="1" x="69"/>
        <item m="1" x="58"/>
        <item m="1" x="35"/>
        <item m="1" x="131"/>
        <item m="1" x="92"/>
        <item m="1" x="111"/>
        <item m="1" x="36"/>
        <item m="1" x="102"/>
        <item m="1" x="135"/>
        <item m="1" x="117"/>
        <item m="1" x="81"/>
        <item m="1" x="121"/>
        <item m="1" x="114"/>
        <item m="1" x="110"/>
        <item m="1" x="94"/>
        <item m="1" x="108"/>
        <item m="1" x="97"/>
        <item m="1" x="85"/>
        <item m="1" x="23"/>
        <item m="1" x="66"/>
        <item m="1" x="26"/>
        <item m="1" x="52"/>
        <item m="1" x="64"/>
        <item m="1" x="20"/>
        <item m="1" x="109"/>
        <item m="1" x="119"/>
        <item m="1" x="71"/>
        <item m="1" x="98"/>
        <item m="1" x="76"/>
        <item m="1" x="74"/>
        <item m="1" x="61"/>
        <item m="1" x="32"/>
        <item m="1" x="113"/>
        <item m="1" x="100"/>
        <item m="1" x="55"/>
        <item m="1" x="68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32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dragToRow="0" dragToCol="0" dragToPag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dragToRow="0" dragToCol="0" dragToPag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9"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</rowItems>
  <colFields count="1">
    <field x="-2"/>
  </colFields>
  <colItems count="2">
    <i>
      <x/>
    </i>
    <i i="1">
      <x v="1"/>
    </i>
  </colItems>
  <dataFields count="2">
    <dataField name="Sum of L OWP" fld="7" baseField="0" baseItem="1" numFmtId="164"/>
    <dataField name="Count of L Team" fld="2" subtotal="count" baseField="0" baseItem="0" numFmtId="1"/>
  </dataFields>
  <formats count="8"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4">
      <pivotArea field="0" type="button" dataOnly="0" labelOnly="1" outline="0" axis="axisRow" fieldPosition="0"/>
    </format>
    <format dxfId="13">
      <pivotArea field="2" type="button" dataOnly="0" labelOnly="1" outline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RawData" displayName="RawData" ref="A1:H639" totalsRowShown="0" headerRowDxfId="39">
  <autoFilter ref="A1:H639"/>
  <tableColumns count="8">
    <tableColumn id="1" name="W Team"/>
    <tableColumn id="2" name="W Score"/>
    <tableColumn id="3" name="L Team"/>
    <tableColumn id="4" name="L Score"/>
    <tableColumn id="5" name="W WP" dataDxfId="38">
      <calculatedColumnFormula>VLOOKUP(RawData[[#This Row],[W Team]],WP_Calc[],4,0)</calculatedColumnFormula>
    </tableColumn>
    <tableColumn id="6" name="L WP" dataDxfId="37">
      <calculatedColumnFormula>VLOOKUP(RawData[[#This Row],[L Team]],WP_Calc[],4,0)</calculatedColumnFormula>
    </tableColumn>
    <tableColumn id="7" name="W OWP" dataDxfId="36">
      <calculatedColumnFormula>VLOOKUP(RawData[[#This Row],[W Team]],OWP_Calc[],2,0)</calculatedColumnFormula>
    </tableColumn>
    <tableColumn id="8" name="L OWP" dataDxfId="35">
      <calculatedColumnFormula>VLOOKUP(RawData[[#This Row],[L Team]],OWP_Calc[],2,0)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7" name="Prep" displayName="Prep" ref="A1:F292" totalsRowShown="0">
  <autoFilter ref="A1:F292"/>
  <tableColumns count="6">
    <tableColumn id="1" name="Team">
      <calculatedColumnFormula>WP_Calc[[#This Row],[Team]]</calculatedColumnFormula>
    </tableColumn>
    <tableColumn id="2" name="WP" dataDxfId="34">
      <calculatedColumnFormula>VLOOKUP(Prep[[#This Row],[Team]],WP_Calc[],4,0)</calculatedColumnFormula>
    </tableColumn>
    <tableColumn id="3" name="OWP" dataDxfId="33">
      <calculatedColumnFormula>VLOOKUP(Prep[[#This Row],[Team]],OWP_Calc[],2,0)</calculatedColumnFormula>
    </tableColumn>
    <tableColumn id="4" name="OOWP" dataDxfId="32">
      <calculatedColumnFormula>VLOOKUP(Prep[[#This Row],[Team]],OOWP_Calc[],2,0)</calculatedColumnFormula>
    </tableColumn>
    <tableColumn id="5" name="Games Played" dataDxfId="31">
      <calculatedColumnFormula>VLOOKUP(Prep[[#This Row],[Team]],WP_Calc[],2,0)+VLOOKUP(Prep[[#This Row],[Team]],WP_Calc[],3,0)</calculatedColumnFormula>
    </tableColumn>
    <tableColumn id="6" name="RPI1" dataDxfId="30">
      <calculatedColumnFormula>Prep[[#This Row],[WP]]*0.25+Prep[[#This Row],[OWP]]*0.5+Prep[[#This Row],[OOWP]]*0.25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WP_Calc" displayName="WP_Calc" ref="G1:J233" totalsRowShown="0">
  <autoFilter ref="G1:J233"/>
  <tableColumns count="4">
    <tableColumn id="1" name="Team" dataDxfId="29">
      <calculatedColumnFormula array="1">IFERROR(IFERROR(INDEX($A$2:$A$300, MATCH(0, COUNTIF($G$1:G1,$A$2:$A$300 ), 0)), INDEX($D$2:$D$300, MATCH(0, COUNTIF($G$1:G1,$D$2:$D$300 ), 0))), "")</calculatedColumnFormula>
    </tableColumn>
    <tableColumn id="4" name="Wins" dataDxfId="28">
      <calculatedColumnFormula>IFERROR(VLOOKUP(WP_Calc[[#This Row],[Team]],$A:$B,2,0),0)</calculatedColumnFormula>
    </tableColumn>
    <tableColumn id="3" name="Losses" dataDxfId="27">
      <calculatedColumnFormula>IFERROR(VLOOKUP(WP_Calc[[#This Row],[Team]],$D:$E,2,0),0)</calculatedColumnFormula>
    </tableColumn>
    <tableColumn id="2" name="WP" dataDxfId="26">
      <calculatedColumnFormula>IFERROR(WP_Calc[[#This Row],[Wins]]/(WP_Calc[[#This Row],[Wins]]+WP_Calc[[#This Row],[Losses]]),"")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5" name="OWP_Calc" displayName="OWP_Calc" ref="M1:N202" totalsRowShown="0" headerRowDxfId="19">
  <autoFilter ref="M1:N202"/>
  <tableColumns count="2">
    <tableColumn id="1" name="Team">
      <calculatedColumnFormula array="1">WP_Calc[[#This Row],[Team]]</calculatedColumnFormula>
    </tableColumn>
    <tableColumn id="2" name="OWP" dataDxfId="18">
      <calculatedColumnFormula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6" name="OOWP_Calc" displayName="OOWP_Calc" ref="J1:K200" totalsRowShown="0">
  <autoFilter ref="J1:K200"/>
  <tableColumns count="2">
    <tableColumn id="1" name="TEAM">
      <calculatedColumnFormula>OWP_Calc[[#This Row],[Team]]</calculatedColumnFormula>
    </tableColumn>
    <tableColumn id="2" name="OOWP" dataDxfId="1">
      <calculatedColumnFormula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1" Type="http://schemas.openxmlformats.org/officeDocument/2006/relationships/pivotTable" Target="../pivotTables/pivotTable1.xml"/><Relationship Id="rId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pivotTable" Target="../pivotTables/pivotTable3.xml"/><Relationship Id="rId3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Relationship Id="rId1" Type="http://schemas.openxmlformats.org/officeDocument/2006/relationships/pivotTable" Target="../pivotTables/pivotTable4.xml"/><Relationship Id="rId2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pivotTable" Target="../pivotTables/pivotTable7.xml"/><Relationship Id="rId3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D19"/>
  <sheetViews>
    <sheetView tabSelected="1" workbookViewId="0">
      <pane ySplit="1" topLeftCell="A2" activePane="bottomLeft" state="frozen"/>
      <selection pane="bottomLeft" activeCell="E19" sqref="E19"/>
    </sheetView>
  </sheetViews>
  <sheetFormatPr baseColWidth="10" defaultColWidth="8.83203125" defaultRowHeight="15" x14ac:dyDescent="0.2"/>
  <cols>
    <col min="2" max="2" width="29.83203125" style="14" customWidth="1"/>
    <col min="3" max="3" width="7.1640625" style="14" customWidth="1"/>
    <col min="4" max="4" width="4.5" style="14" customWidth="1"/>
  </cols>
  <sheetData>
    <row r="1" spans="2:4" x14ac:dyDescent="0.2">
      <c r="B1" s="52" t="s">
        <v>11</v>
      </c>
      <c r="C1" s="14" t="s">
        <v>25</v>
      </c>
      <c r="D1" s="14" t="s">
        <v>8</v>
      </c>
    </row>
    <row r="2" spans="2:4" x14ac:dyDescent="0.2">
      <c r="B2" s="53" t="s">
        <v>34</v>
      </c>
      <c r="C2" s="54">
        <v>10</v>
      </c>
      <c r="D2" s="55">
        <v>0.59175</v>
      </c>
    </row>
    <row r="3" spans="2:4" x14ac:dyDescent="0.2">
      <c r="B3" s="53" t="s">
        <v>44</v>
      </c>
      <c r="C3" s="54">
        <v>10</v>
      </c>
      <c r="D3" s="55">
        <v>0.58825000000000005</v>
      </c>
    </row>
    <row r="4" spans="2:4" x14ac:dyDescent="0.2">
      <c r="B4" s="53" t="s">
        <v>42</v>
      </c>
      <c r="C4" s="54">
        <v>10</v>
      </c>
      <c r="D4" s="55">
        <v>0.57425000000000004</v>
      </c>
    </row>
    <row r="5" spans="2:4" x14ac:dyDescent="0.2">
      <c r="B5" s="53" t="s">
        <v>35</v>
      </c>
      <c r="C5" s="54">
        <v>10</v>
      </c>
      <c r="D5" s="55">
        <v>0.54074999999999995</v>
      </c>
    </row>
    <row r="6" spans="2:4" x14ac:dyDescent="0.2">
      <c r="B6" s="53" t="s">
        <v>40</v>
      </c>
      <c r="C6" s="54">
        <v>10</v>
      </c>
      <c r="D6" s="55">
        <v>0.53850000000000009</v>
      </c>
    </row>
    <row r="7" spans="2:4" x14ac:dyDescent="0.2">
      <c r="B7" s="53" t="s">
        <v>43</v>
      </c>
      <c r="C7" s="54">
        <v>10</v>
      </c>
      <c r="D7" s="55">
        <v>0.52324999999999999</v>
      </c>
    </row>
    <row r="8" spans="2:4" x14ac:dyDescent="0.2">
      <c r="B8" s="53" t="s">
        <v>29</v>
      </c>
      <c r="C8" s="54">
        <v>10</v>
      </c>
      <c r="D8" s="55">
        <v>0.52075000000000005</v>
      </c>
    </row>
    <row r="9" spans="2:4" x14ac:dyDescent="0.2">
      <c r="B9" s="53" t="s">
        <v>36</v>
      </c>
      <c r="C9" s="54">
        <v>10</v>
      </c>
      <c r="D9" s="55">
        <v>0.50774999999999992</v>
      </c>
    </row>
    <row r="10" spans="2:4" x14ac:dyDescent="0.2">
      <c r="B10" s="53" t="s">
        <v>41</v>
      </c>
      <c r="C10" s="54">
        <v>10</v>
      </c>
      <c r="D10" s="55">
        <v>0.503</v>
      </c>
    </row>
    <row r="11" spans="2:4" x14ac:dyDescent="0.2">
      <c r="B11" s="53" t="s">
        <v>39</v>
      </c>
      <c r="C11" s="54">
        <v>10</v>
      </c>
      <c r="D11" s="55">
        <v>0.495</v>
      </c>
    </row>
    <row r="12" spans="2:4" x14ac:dyDescent="0.2">
      <c r="B12" s="53" t="s">
        <v>30</v>
      </c>
      <c r="C12" s="54">
        <v>10</v>
      </c>
      <c r="D12" s="55">
        <v>0.48049999999999998</v>
      </c>
    </row>
    <row r="13" spans="2:4" x14ac:dyDescent="0.2">
      <c r="B13" s="53" t="s">
        <v>31</v>
      </c>
      <c r="C13" s="54">
        <v>10</v>
      </c>
      <c r="D13" s="55">
        <v>0.48025000000000001</v>
      </c>
    </row>
    <row r="14" spans="2:4" x14ac:dyDescent="0.2">
      <c r="B14" s="53" t="s">
        <v>28</v>
      </c>
      <c r="C14" s="54">
        <v>10</v>
      </c>
      <c r="D14" s="55">
        <v>0.46099999999999997</v>
      </c>
    </row>
    <row r="15" spans="2:4" x14ac:dyDescent="0.2">
      <c r="B15" s="53" t="s">
        <v>45</v>
      </c>
      <c r="C15" s="54">
        <v>10</v>
      </c>
      <c r="D15" s="55">
        <v>0.45400000000000001</v>
      </c>
    </row>
    <row r="16" spans="2:4" x14ac:dyDescent="0.2">
      <c r="B16" s="53" t="s">
        <v>33</v>
      </c>
      <c r="C16" s="54">
        <v>10</v>
      </c>
      <c r="D16" s="55">
        <v>0.45074999999999998</v>
      </c>
    </row>
    <row r="17" spans="2:4" x14ac:dyDescent="0.2">
      <c r="B17" s="53" t="s">
        <v>32</v>
      </c>
      <c r="C17" s="54">
        <v>10</v>
      </c>
      <c r="D17" s="55">
        <v>0.44225000000000003</v>
      </c>
    </row>
    <row r="18" spans="2:4" x14ac:dyDescent="0.2">
      <c r="B18" s="53" t="s">
        <v>38</v>
      </c>
      <c r="C18" s="54">
        <v>10</v>
      </c>
      <c r="D18" s="55">
        <v>0.44</v>
      </c>
    </row>
    <row r="19" spans="2:4" x14ac:dyDescent="0.2">
      <c r="B19" s="53" t="s">
        <v>37</v>
      </c>
      <c r="C19" s="54">
        <v>10</v>
      </c>
      <c r="D19" s="55">
        <v>0.40600000000000003</v>
      </c>
    </row>
  </sheetData>
  <sheetProtection selectLockedCells="1" sort="0" autoFilter="0" pivotTables="0"/>
  <conditionalFormatting sqref="A1:XFD1048576">
    <cfRule type="expression" dxfId="0" priority="2">
      <formula>LEN(TRIM(A1))=0</formula>
    </cfRule>
  </conditionalFormatting>
  <conditionalFormatting sqref="D1:D1048576">
    <cfRule type="colorScale" priority="1">
      <colorScale>
        <cfvo type="percentile" val="10"/>
        <cfvo type="percentile" val="75"/>
        <color theme="4" tint="0.39994506668294322"/>
        <color theme="7" tint="0.39994506668294322"/>
      </colorScale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locked="0" defaultSize="0" print="0" autoFill="0" autoPict="0" macro="[0]!OpenList">
                <anchor moveWithCells="1" sizeWithCells="1">
                  <from>
                    <xdr:col>4</xdr:col>
                    <xdr:colOff>584200</xdr:colOff>
                    <xdr:row>1</xdr:row>
                    <xdr:rowOff>101600</xdr:rowOff>
                  </from>
                  <to>
                    <xdr:col>7</xdr:col>
                    <xdr:colOff>317500</xdr:colOff>
                    <xdr:row>3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locked="0" defaultSize="0" print="0" autoFill="0" autoPict="0" macro="[0]!RefreshAll">
                <anchor moveWithCells="1" sizeWithCells="1">
                  <from>
                    <xdr:col>4</xdr:col>
                    <xdr:colOff>584200</xdr:colOff>
                    <xdr:row>4</xdr:row>
                    <xdr:rowOff>25400</xdr:rowOff>
                  </from>
                  <to>
                    <xdr:col>7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8"/>
  <sheetViews>
    <sheetView workbookViewId="0">
      <pane ySplit="1" topLeftCell="A75" activePane="bottomLeft" state="frozen"/>
      <selection pane="bottomLeft" activeCell="A92" sqref="A92"/>
    </sheetView>
  </sheetViews>
  <sheetFormatPr baseColWidth="10" defaultColWidth="8.83203125" defaultRowHeight="15" x14ac:dyDescent="0.2"/>
  <cols>
    <col min="1" max="1" width="29.5" bestFit="1" customWidth="1"/>
    <col min="2" max="2" width="10.5" customWidth="1"/>
    <col min="3" max="3" width="29.5" bestFit="1" customWidth="1"/>
    <col min="4" max="4" width="9.33203125" customWidth="1"/>
    <col min="5" max="8" width="8.83203125" style="6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7" t="s">
        <v>14</v>
      </c>
      <c r="F1" s="7" t="s">
        <v>15</v>
      </c>
      <c r="G1" s="7" t="s">
        <v>20</v>
      </c>
      <c r="H1" s="7" t="s">
        <v>21</v>
      </c>
    </row>
    <row r="2" spans="1:8" x14ac:dyDescent="0.2">
      <c r="A2" t="s">
        <v>28</v>
      </c>
      <c r="B2">
        <v>133</v>
      </c>
      <c r="C2" t="s">
        <v>29</v>
      </c>
      <c r="D2">
        <v>0</v>
      </c>
      <c r="E2" s="6">
        <f>VLOOKUP(RawData[[#This Row],[W Team]],WP_Calc[],4,0)</f>
        <v>0.4</v>
      </c>
      <c r="F2" s="6">
        <f>VLOOKUP(RawData[[#This Row],[L Team]],WP_Calc[],4,0)</f>
        <v>0.5</v>
      </c>
      <c r="G2" s="6">
        <f>VLOOKUP(RawData[[#This Row],[W Team]],OWP_Calc[],2,0)</f>
        <v>0.48</v>
      </c>
      <c r="H2" s="6">
        <f>VLOOKUP(RawData[[#This Row],[L Team]],OWP_Calc[],2,0)</f>
        <v>0.53</v>
      </c>
    </row>
    <row r="3" spans="1:8" x14ac:dyDescent="0.2">
      <c r="A3" t="s">
        <v>30</v>
      </c>
      <c r="B3">
        <v>126</v>
      </c>
      <c r="C3" t="s">
        <v>31</v>
      </c>
      <c r="D3">
        <v>110</v>
      </c>
      <c r="E3" s="6">
        <f>VLOOKUP(RawData[[#This Row],[W Team]],WP_Calc[],4,0)</f>
        <v>0.5</v>
      </c>
      <c r="F3" s="6">
        <f>VLOOKUP(RawData[[#This Row],[L Team]],WP_Calc[],4,0)</f>
        <v>0.5</v>
      </c>
      <c r="G3" s="6">
        <f>VLOOKUP(RawData[[#This Row],[W Team]],OWP_Calc[],2,0)</f>
        <v>0.47000000000000003</v>
      </c>
      <c r="H3" s="6">
        <f>VLOOKUP(RawData[[#This Row],[L Team]],OWP_Calc[],2,0)</f>
        <v>0.47000000000000003</v>
      </c>
    </row>
    <row r="4" spans="1:8" x14ac:dyDescent="0.2">
      <c r="A4" t="s">
        <v>33</v>
      </c>
      <c r="B4">
        <v>132</v>
      </c>
      <c r="C4" t="s">
        <v>32</v>
      </c>
      <c r="D4">
        <v>116</v>
      </c>
      <c r="E4" s="6">
        <f>VLOOKUP(RawData[[#This Row],[W Team]],WP_Calc[],4,0)</f>
        <v>0.3</v>
      </c>
      <c r="F4" s="6">
        <f>VLOOKUP(RawData[[#This Row],[L Team]],WP_Calc[],4,0)</f>
        <v>0.3</v>
      </c>
      <c r="G4" s="6">
        <f>VLOOKUP(RawData[[#This Row],[W Team]],OWP_Calc[],2,0)</f>
        <v>0.5</v>
      </c>
      <c r="H4" s="6">
        <f>VLOOKUP(RawData[[#This Row],[L Team]],OWP_Calc[],2,0)</f>
        <v>0.49000000000000005</v>
      </c>
    </row>
    <row r="5" spans="1:8" x14ac:dyDescent="0.2">
      <c r="A5" t="s">
        <v>34</v>
      </c>
      <c r="B5">
        <v>165</v>
      </c>
      <c r="C5" t="s">
        <v>35</v>
      </c>
      <c r="D5">
        <v>129</v>
      </c>
      <c r="E5" s="6">
        <f>VLOOKUP(RawData[[#This Row],[W Team]],WP_Calc[],4,0)</f>
        <v>0.8</v>
      </c>
      <c r="F5" s="6">
        <f>VLOOKUP(RawData[[#This Row],[L Team]],WP_Calc[],4,0)</f>
        <v>0.7</v>
      </c>
      <c r="G5" s="6">
        <f>VLOOKUP(RawData[[#This Row],[W Team]],OWP_Calc[],2,0)</f>
        <v>0.52999999999999992</v>
      </c>
      <c r="H5" s="6">
        <f>VLOOKUP(RawData[[#This Row],[L Team]],OWP_Calc[],2,0)</f>
        <v>0.48</v>
      </c>
    </row>
    <row r="6" spans="1:8" x14ac:dyDescent="0.2">
      <c r="A6" t="s">
        <v>36</v>
      </c>
      <c r="B6">
        <v>154</v>
      </c>
      <c r="C6" t="s">
        <v>37</v>
      </c>
      <c r="D6">
        <v>81</v>
      </c>
      <c r="E6" s="6">
        <f>VLOOKUP(RawData[[#This Row],[W Team]],WP_Calc[],4,0)</f>
        <v>0.6</v>
      </c>
      <c r="F6" s="6">
        <f>VLOOKUP(RawData[[#This Row],[L Team]],WP_Calc[],4,0)</f>
        <v>0.1</v>
      </c>
      <c r="G6" s="6">
        <f>VLOOKUP(RawData[[#This Row],[W Team]],OWP_Calc[],2,0)</f>
        <v>0.46999999999999992</v>
      </c>
      <c r="H6" s="6">
        <f>VLOOKUP(RawData[[#This Row],[L Team]],OWP_Calc[],2,0)</f>
        <v>0.51</v>
      </c>
    </row>
    <row r="7" spans="1:8" x14ac:dyDescent="0.2">
      <c r="A7" t="s">
        <v>38</v>
      </c>
      <c r="B7">
        <v>126</v>
      </c>
      <c r="C7" t="s">
        <v>39</v>
      </c>
      <c r="D7">
        <v>68</v>
      </c>
      <c r="E7" s="6">
        <f>VLOOKUP(RawData[[#This Row],[W Team]],WP_Calc[],4,0)</f>
        <v>0.4</v>
      </c>
      <c r="F7" s="6">
        <f>VLOOKUP(RawData[[#This Row],[L Team]],WP_Calc[],4,0)</f>
        <v>0.4</v>
      </c>
      <c r="G7" s="6">
        <f>VLOOKUP(RawData[[#This Row],[W Team]],OWP_Calc[],2,0)</f>
        <v>0.45</v>
      </c>
      <c r="H7" s="6">
        <f>VLOOKUP(RawData[[#This Row],[L Team]],OWP_Calc[],2,0)</f>
        <v>0.53</v>
      </c>
    </row>
    <row r="8" spans="1:8" x14ac:dyDescent="0.2">
      <c r="A8" t="s">
        <v>40</v>
      </c>
      <c r="B8">
        <v>149</v>
      </c>
      <c r="C8" t="s">
        <v>41</v>
      </c>
      <c r="D8">
        <v>140</v>
      </c>
      <c r="E8" s="6">
        <f>VLOOKUP(RawData[[#This Row],[W Team]],WP_Calc[],4,0)</f>
        <v>0.8</v>
      </c>
      <c r="F8" s="6">
        <f>VLOOKUP(RawData[[#This Row],[L Team]],WP_Calc[],4,0)</f>
        <v>0.4</v>
      </c>
      <c r="G8" s="6">
        <f>VLOOKUP(RawData[[#This Row],[W Team]],OWP_Calc[],2,0)</f>
        <v>0.43</v>
      </c>
      <c r="H8" s="6">
        <f>VLOOKUP(RawData[[#This Row],[L Team]],OWP_Calc[],2,0)</f>
        <v>0.54</v>
      </c>
    </row>
    <row r="9" spans="1:8" x14ac:dyDescent="0.2">
      <c r="A9" t="s">
        <v>42</v>
      </c>
      <c r="B9">
        <v>186</v>
      </c>
      <c r="C9" t="s">
        <v>43</v>
      </c>
      <c r="D9">
        <v>138</v>
      </c>
      <c r="E9" s="6">
        <f>VLOOKUP(RawData[[#This Row],[W Team]],WP_Calc[],4,0)</f>
        <v>0.7</v>
      </c>
      <c r="F9" s="6">
        <f>VLOOKUP(RawData[[#This Row],[L Team]],WP_Calc[],4,0)</f>
        <v>0.5</v>
      </c>
      <c r="G9" s="6">
        <f>VLOOKUP(RawData[[#This Row],[W Team]],OWP_Calc[],2,0)</f>
        <v>0.54</v>
      </c>
      <c r="H9" s="6">
        <f>VLOOKUP(RawData[[#This Row],[L Team]],OWP_Calc[],2,0)</f>
        <v>0.54</v>
      </c>
    </row>
    <row r="10" spans="1:8" x14ac:dyDescent="0.2">
      <c r="A10" t="s">
        <v>44</v>
      </c>
      <c r="B10">
        <v>130</v>
      </c>
      <c r="C10" t="s">
        <v>45</v>
      </c>
      <c r="D10">
        <v>128</v>
      </c>
      <c r="E10" s="6">
        <f>VLOOKUP(RawData[[#This Row],[W Team]],WP_Calc[],4,0)</f>
        <v>0.7</v>
      </c>
      <c r="F10" s="6">
        <f>VLOOKUP(RawData[[#This Row],[L Team]],WP_Calc[],4,0)</f>
        <v>0.4</v>
      </c>
      <c r="G10" s="6">
        <f>VLOOKUP(RawData[[#This Row],[W Team]],OWP_Calc[],2,0)</f>
        <v>0.57000000000000006</v>
      </c>
      <c r="H10" s="6">
        <f>VLOOKUP(RawData[[#This Row],[L Team]],OWP_Calc[],2,0)</f>
        <v>0.47000000000000003</v>
      </c>
    </row>
    <row r="11" spans="1:8" x14ac:dyDescent="0.2">
      <c r="A11" t="s">
        <v>34</v>
      </c>
      <c r="B11">
        <v>170</v>
      </c>
      <c r="C11" t="s">
        <v>42</v>
      </c>
      <c r="D11">
        <v>139</v>
      </c>
      <c r="E11" s="6">
        <f>VLOOKUP(RawData[[#This Row],[W Team]],WP_Calc[],4,0)</f>
        <v>0.8</v>
      </c>
      <c r="F11" s="6">
        <f>VLOOKUP(RawData[[#This Row],[L Team]],WP_Calc[],4,0)</f>
        <v>0.7</v>
      </c>
      <c r="G11" s="6">
        <f>VLOOKUP(RawData[[#This Row],[W Team]],OWP_Calc[],2,0)</f>
        <v>0.52999999999999992</v>
      </c>
      <c r="H11" s="6">
        <f>VLOOKUP(RawData[[#This Row],[L Team]],OWP_Calc[],2,0)</f>
        <v>0.54</v>
      </c>
    </row>
    <row r="12" spans="1:8" x14ac:dyDescent="0.2">
      <c r="A12" t="s">
        <v>35</v>
      </c>
      <c r="B12">
        <v>171</v>
      </c>
      <c r="C12" t="s">
        <v>41</v>
      </c>
      <c r="D12">
        <v>123</v>
      </c>
      <c r="E12" s="6">
        <f>VLOOKUP(RawData[[#This Row],[W Team]],WP_Calc[],4,0)</f>
        <v>0.7</v>
      </c>
      <c r="F12" s="6">
        <f>VLOOKUP(RawData[[#This Row],[L Team]],WP_Calc[],4,0)</f>
        <v>0.4</v>
      </c>
      <c r="G12" s="6">
        <f>VLOOKUP(RawData[[#This Row],[W Team]],OWP_Calc[],2,0)</f>
        <v>0.48</v>
      </c>
      <c r="H12" s="6">
        <f>VLOOKUP(RawData[[#This Row],[L Team]],OWP_Calc[],2,0)</f>
        <v>0.54</v>
      </c>
    </row>
    <row r="13" spans="1:8" x14ac:dyDescent="0.2">
      <c r="A13" t="s">
        <v>31</v>
      </c>
      <c r="B13">
        <v>142</v>
      </c>
      <c r="C13" t="s">
        <v>45</v>
      </c>
      <c r="D13">
        <v>136</v>
      </c>
      <c r="E13" s="6">
        <f>VLOOKUP(RawData[[#This Row],[W Team]],WP_Calc[],4,0)</f>
        <v>0.5</v>
      </c>
      <c r="F13" s="6">
        <f>VLOOKUP(RawData[[#This Row],[L Team]],WP_Calc[],4,0)</f>
        <v>0.4</v>
      </c>
      <c r="G13" s="6">
        <f>VLOOKUP(RawData[[#This Row],[W Team]],OWP_Calc[],2,0)</f>
        <v>0.47000000000000003</v>
      </c>
      <c r="H13" s="6">
        <f>VLOOKUP(RawData[[#This Row],[L Team]],OWP_Calc[],2,0)</f>
        <v>0.47000000000000003</v>
      </c>
    </row>
    <row r="14" spans="1:8" x14ac:dyDescent="0.2">
      <c r="A14" t="s">
        <v>43</v>
      </c>
      <c r="B14">
        <v>178</v>
      </c>
      <c r="C14" t="s">
        <v>28</v>
      </c>
      <c r="D14">
        <v>125</v>
      </c>
      <c r="E14" s="6">
        <f>VLOOKUP(RawData[[#This Row],[W Team]],WP_Calc[],4,0)</f>
        <v>0.5</v>
      </c>
      <c r="F14" s="6">
        <f>VLOOKUP(RawData[[#This Row],[L Team]],WP_Calc[],4,0)</f>
        <v>0.4</v>
      </c>
      <c r="G14" s="6">
        <f>VLOOKUP(RawData[[#This Row],[W Team]],OWP_Calc[],2,0)</f>
        <v>0.54</v>
      </c>
      <c r="H14" s="6">
        <f>VLOOKUP(RawData[[#This Row],[L Team]],OWP_Calc[],2,0)</f>
        <v>0.48</v>
      </c>
    </row>
    <row r="15" spans="1:8" x14ac:dyDescent="0.2">
      <c r="A15" t="s">
        <v>33</v>
      </c>
      <c r="B15">
        <v>155</v>
      </c>
      <c r="C15" t="s">
        <v>29</v>
      </c>
      <c r="D15">
        <v>94</v>
      </c>
      <c r="E15" s="6">
        <f>VLOOKUP(RawData[[#This Row],[W Team]],WP_Calc[],4,0)</f>
        <v>0.3</v>
      </c>
      <c r="F15" s="6">
        <f>VLOOKUP(RawData[[#This Row],[L Team]],WP_Calc[],4,0)</f>
        <v>0.5</v>
      </c>
      <c r="G15" s="6">
        <f>VLOOKUP(RawData[[#This Row],[W Team]],OWP_Calc[],2,0)</f>
        <v>0.5</v>
      </c>
      <c r="H15" s="6">
        <f>VLOOKUP(RawData[[#This Row],[L Team]],OWP_Calc[],2,0)</f>
        <v>0.53</v>
      </c>
    </row>
    <row r="16" spans="1:8" x14ac:dyDescent="0.2">
      <c r="A16" t="s">
        <v>30</v>
      </c>
      <c r="B16">
        <v>140</v>
      </c>
      <c r="C16" t="s">
        <v>38</v>
      </c>
      <c r="D16">
        <v>126</v>
      </c>
      <c r="E16" s="6">
        <f>VLOOKUP(RawData[[#This Row],[W Team]],WP_Calc[],4,0)</f>
        <v>0.5</v>
      </c>
      <c r="F16" s="6">
        <f>VLOOKUP(RawData[[#This Row],[L Team]],WP_Calc[],4,0)</f>
        <v>0.4</v>
      </c>
      <c r="G16" s="6">
        <f>VLOOKUP(RawData[[#This Row],[W Team]],OWP_Calc[],2,0)</f>
        <v>0.47000000000000003</v>
      </c>
      <c r="H16" s="6">
        <f>VLOOKUP(RawData[[#This Row],[L Team]],OWP_Calc[],2,0)</f>
        <v>0.45</v>
      </c>
    </row>
    <row r="17" spans="1:8" x14ac:dyDescent="0.2">
      <c r="A17" t="s">
        <v>40</v>
      </c>
      <c r="B17">
        <v>149</v>
      </c>
      <c r="C17" t="s">
        <v>37</v>
      </c>
      <c r="D17">
        <v>92</v>
      </c>
      <c r="E17" s="6">
        <f>VLOOKUP(RawData[[#This Row],[W Team]],WP_Calc[],4,0)</f>
        <v>0.8</v>
      </c>
      <c r="F17" s="6">
        <f>VLOOKUP(RawData[[#This Row],[L Team]],WP_Calc[],4,0)</f>
        <v>0.1</v>
      </c>
      <c r="G17" s="6">
        <f>VLOOKUP(RawData[[#This Row],[W Team]],OWP_Calc[],2,0)</f>
        <v>0.43</v>
      </c>
      <c r="H17" s="6">
        <f>VLOOKUP(RawData[[#This Row],[L Team]],OWP_Calc[],2,0)</f>
        <v>0.51</v>
      </c>
    </row>
    <row r="18" spans="1:8" x14ac:dyDescent="0.2">
      <c r="A18" t="s">
        <v>44</v>
      </c>
      <c r="B18">
        <v>131</v>
      </c>
      <c r="C18" t="s">
        <v>36</v>
      </c>
      <c r="D18">
        <v>127</v>
      </c>
      <c r="E18" s="6">
        <f>VLOOKUP(RawData[[#This Row],[W Team]],WP_Calc[],4,0)</f>
        <v>0.7</v>
      </c>
      <c r="F18" s="6">
        <f>VLOOKUP(RawData[[#This Row],[L Team]],WP_Calc[],4,0)</f>
        <v>0.6</v>
      </c>
      <c r="G18" s="6">
        <f>VLOOKUP(RawData[[#This Row],[W Team]],OWP_Calc[],2,0)</f>
        <v>0.57000000000000006</v>
      </c>
      <c r="H18" s="6">
        <f>VLOOKUP(RawData[[#This Row],[L Team]],OWP_Calc[],2,0)</f>
        <v>0.46999999999999992</v>
      </c>
    </row>
    <row r="19" spans="1:8" x14ac:dyDescent="0.2">
      <c r="A19" t="s">
        <v>32</v>
      </c>
      <c r="B19">
        <v>107</v>
      </c>
      <c r="C19" t="s">
        <v>39</v>
      </c>
      <c r="D19">
        <v>91</v>
      </c>
      <c r="E19" s="6">
        <f>VLOOKUP(RawData[[#This Row],[W Team]],WP_Calc[],4,0)</f>
        <v>0.3</v>
      </c>
      <c r="F19" s="6">
        <f>VLOOKUP(RawData[[#This Row],[L Team]],WP_Calc[],4,0)</f>
        <v>0.4</v>
      </c>
      <c r="G19" s="6">
        <f>VLOOKUP(RawData[[#This Row],[W Team]],OWP_Calc[],2,0)</f>
        <v>0.49000000000000005</v>
      </c>
      <c r="H19" s="6">
        <f>VLOOKUP(RawData[[#This Row],[L Team]],OWP_Calc[],2,0)</f>
        <v>0.53</v>
      </c>
    </row>
    <row r="20" spans="1:8" x14ac:dyDescent="0.2">
      <c r="A20" t="s">
        <v>40</v>
      </c>
      <c r="B20">
        <v>150</v>
      </c>
      <c r="C20" t="s">
        <v>29</v>
      </c>
      <c r="D20">
        <v>136</v>
      </c>
      <c r="E20" s="6">
        <f>VLOOKUP(RawData[[#This Row],[W Team]],WP_Calc[],4,0)</f>
        <v>0.8</v>
      </c>
      <c r="F20" s="6">
        <f>VLOOKUP(RawData[[#This Row],[L Team]],WP_Calc[],4,0)</f>
        <v>0.5</v>
      </c>
      <c r="G20" s="6">
        <f>VLOOKUP(RawData[[#This Row],[W Team]],OWP_Calc[],2,0)</f>
        <v>0.43</v>
      </c>
      <c r="H20" s="6">
        <f>VLOOKUP(RawData[[#This Row],[L Team]],OWP_Calc[],2,0)</f>
        <v>0.53</v>
      </c>
    </row>
    <row r="21" spans="1:8" x14ac:dyDescent="0.2">
      <c r="A21" t="s">
        <v>35</v>
      </c>
      <c r="B21">
        <v>149</v>
      </c>
      <c r="C21" t="s">
        <v>30</v>
      </c>
      <c r="D21">
        <v>134</v>
      </c>
      <c r="E21" s="6">
        <f>VLOOKUP(RawData[[#This Row],[W Team]],WP_Calc[],4,0)</f>
        <v>0.7</v>
      </c>
      <c r="F21" s="6">
        <f>VLOOKUP(RawData[[#This Row],[L Team]],WP_Calc[],4,0)</f>
        <v>0.5</v>
      </c>
      <c r="G21" s="6">
        <f>VLOOKUP(RawData[[#This Row],[W Team]],OWP_Calc[],2,0)</f>
        <v>0.48</v>
      </c>
      <c r="H21" s="6">
        <f>VLOOKUP(RawData[[#This Row],[L Team]],OWP_Calc[],2,0)</f>
        <v>0.47000000000000003</v>
      </c>
    </row>
    <row r="22" spans="1:8" x14ac:dyDescent="0.2">
      <c r="A22" t="s">
        <v>43</v>
      </c>
      <c r="B22">
        <v>187</v>
      </c>
      <c r="C22" t="s">
        <v>45</v>
      </c>
      <c r="D22">
        <v>133</v>
      </c>
      <c r="E22" s="6">
        <f>VLOOKUP(RawData[[#This Row],[W Team]],WP_Calc[],4,0)</f>
        <v>0.5</v>
      </c>
      <c r="F22" s="6">
        <f>VLOOKUP(RawData[[#This Row],[L Team]],WP_Calc[],4,0)</f>
        <v>0.4</v>
      </c>
      <c r="G22" s="6">
        <f>VLOOKUP(RawData[[#This Row],[W Team]],OWP_Calc[],2,0)</f>
        <v>0.54</v>
      </c>
      <c r="H22" s="6">
        <f>VLOOKUP(RawData[[#This Row],[L Team]],OWP_Calc[],2,0)</f>
        <v>0.47000000000000003</v>
      </c>
    </row>
    <row r="23" spans="1:8" x14ac:dyDescent="0.2">
      <c r="A23" t="s">
        <v>44</v>
      </c>
      <c r="B23">
        <v>187</v>
      </c>
      <c r="C23" t="s">
        <v>33</v>
      </c>
      <c r="D23">
        <v>144</v>
      </c>
      <c r="E23" s="6">
        <f>VLOOKUP(RawData[[#This Row],[W Team]],WP_Calc[],4,0)</f>
        <v>0.7</v>
      </c>
      <c r="F23" s="6">
        <f>VLOOKUP(RawData[[#This Row],[L Team]],WP_Calc[],4,0)</f>
        <v>0.3</v>
      </c>
      <c r="G23" s="6">
        <f>VLOOKUP(RawData[[#This Row],[W Team]],OWP_Calc[],2,0)</f>
        <v>0.57000000000000006</v>
      </c>
      <c r="H23" s="6">
        <f>VLOOKUP(RawData[[#This Row],[L Team]],OWP_Calc[],2,0)</f>
        <v>0.5</v>
      </c>
    </row>
    <row r="24" spans="1:8" x14ac:dyDescent="0.2">
      <c r="A24" t="s">
        <v>36</v>
      </c>
      <c r="B24">
        <v>137</v>
      </c>
      <c r="C24" t="s">
        <v>39</v>
      </c>
      <c r="D24">
        <v>104</v>
      </c>
      <c r="E24" s="6">
        <f>VLOOKUP(RawData[[#This Row],[W Team]],WP_Calc[],4,0)</f>
        <v>0.6</v>
      </c>
      <c r="F24" s="6">
        <f>VLOOKUP(RawData[[#This Row],[L Team]],WP_Calc[],4,0)</f>
        <v>0.4</v>
      </c>
      <c r="G24" s="6">
        <f>VLOOKUP(RawData[[#This Row],[W Team]],OWP_Calc[],2,0)</f>
        <v>0.46999999999999992</v>
      </c>
      <c r="H24" s="6">
        <f>VLOOKUP(RawData[[#This Row],[L Team]],OWP_Calc[],2,0)</f>
        <v>0.53</v>
      </c>
    </row>
    <row r="25" spans="1:8" x14ac:dyDescent="0.2">
      <c r="A25" t="s">
        <v>42</v>
      </c>
      <c r="B25">
        <v>160</v>
      </c>
      <c r="C25" t="s">
        <v>32</v>
      </c>
      <c r="D25">
        <v>92</v>
      </c>
      <c r="E25" s="6">
        <f>VLOOKUP(RawData[[#This Row],[W Team]],WP_Calc[],4,0)</f>
        <v>0.7</v>
      </c>
      <c r="F25" s="6">
        <f>VLOOKUP(RawData[[#This Row],[L Team]],WP_Calc[],4,0)</f>
        <v>0.3</v>
      </c>
      <c r="G25" s="6">
        <f>VLOOKUP(RawData[[#This Row],[W Team]],OWP_Calc[],2,0)</f>
        <v>0.54</v>
      </c>
      <c r="H25" s="6">
        <f>VLOOKUP(RawData[[#This Row],[L Team]],OWP_Calc[],2,0)</f>
        <v>0.49000000000000005</v>
      </c>
    </row>
    <row r="26" spans="1:8" x14ac:dyDescent="0.2">
      <c r="A26" t="s">
        <v>31</v>
      </c>
      <c r="B26">
        <v>145</v>
      </c>
      <c r="C26" t="s">
        <v>41</v>
      </c>
      <c r="D26">
        <v>140</v>
      </c>
      <c r="E26" s="6">
        <f>VLOOKUP(RawData[[#This Row],[W Team]],WP_Calc[],4,0)</f>
        <v>0.5</v>
      </c>
      <c r="F26" s="6">
        <f>VLOOKUP(RawData[[#This Row],[L Team]],WP_Calc[],4,0)</f>
        <v>0.4</v>
      </c>
      <c r="G26" s="6">
        <f>VLOOKUP(RawData[[#This Row],[W Team]],OWP_Calc[],2,0)</f>
        <v>0.47000000000000003</v>
      </c>
      <c r="H26" s="6">
        <f>VLOOKUP(RawData[[#This Row],[L Team]],OWP_Calc[],2,0)</f>
        <v>0.54</v>
      </c>
    </row>
    <row r="27" spans="1:8" x14ac:dyDescent="0.2">
      <c r="A27" t="s">
        <v>37</v>
      </c>
      <c r="B27">
        <v>117</v>
      </c>
      <c r="C27" t="s">
        <v>38</v>
      </c>
      <c r="D27">
        <v>77</v>
      </c>
      <c r="E27" s="6">
        <f>VLOOKUP(RawData[[#This Row],[W Team]],WP_Calc[],4,0)</f>
        <v>0.1</v>
      </c>
      <c r="F27" s="6">
        <f>VLOOKUP(RawData[[#This Row],[L Team]],WP_Calc[],4,0)</f>
        <v>0.4</v>
      </c>
      <c r="G27" s="6">
        <f>VLOOKUP(RawData[[#This Row],[W Team]],OWP_Calc[],2,0)</f>
        <v>0.51</v>
      </c>
      <c r="H27" s="6">
        <f>VLOOKUP(RawData[[#This Row],[L Team]],OWP_Calc[],2,0)</f>
        <v>0.45</v>
      </c>
    </row>
    <row r="28" spans="1:8" x14ac:dyDescent="0.2">
      <c r="A28" t="s">
        <v>34</v>
      </c>
      <c r="B28">
        <v>132</v>
      </c>
      <c r="C28" t="s">
        <v>28</v>
      </c>
      <c r="D28">
        <v>106</v>
      </c>
      <c r="E28" s="6">
        <f>VLOOKUP(RawData[[#This Row],[W Team]],WP_Calc[],4,0)</f>
        <v>0.8</v>
      </c>
      <c r="F28" s="6">
        <f>VLOOKUP(RawData[[#This Row],[L Team]],WP_Calc[],4,0)</f>
        <v>0.4</v>
      </c>
      <c r="G28" s="6">
        <f>VLOOKUP(RawData[[#This Row],[W Team]],OWP_Calc[],2,0)</f>
        <v>0.52999999999999992</v>
      </c>
      <c r="H28" s="6">
        <f>VLOOKUP(RawData[[#This Row],[L Team]],OWP_Calc[],2,0)</f>
        <v>0.48</v>
      </c>
    </row>
    <row r="29" spans="1:8" x14ac:dyDescent="0.2">
      <c r="A29" t="s">
        <v>34</v>
      </c>
      <c r="B29">
        <v>185</v>
      </c>
      <c r="C29" t="s">
        <v>36</v>
      </c>
      <c r="D29">
        <v>122</v>
      </c>
      <c r="E29" s="6">
        <f>VLOOKUP(RawData[[#This Row],[W Team]],WP_Calc[],4,0)</f>
        <v>0.8</v>
      </c>
      <c r="F29" s="6">
        <f>VLOOKUP(RawData[[#This Row],[L Team]],WP_Calc[],4,0)</f>
        <v>0.6</v>
      </c>
      <c r="G29" s="6">
        <f>VLOOKUP(RawData[[#This Row],[W Team]],OWP_Calc[],2,0)</f>
        <v>0.52999999999999992</v>
      </c>
      <c r="H29" s="6">
        <f>VLOOKUP(RawData[[#This Row],[L Team]],OWP_Calc[],2,0)</f>
        <v>0.46999999999999992</v>
      </c>
    </row>
    <row r="30" spans="1:8" x14ac:dyDescent="0.2">
      <c r="A30" t="s">
        <v>41</v>
      </c>
      <c r="B30">
        <v>195</v>
      </c>
      <c r="C30" t="s">
        <v>42</v>
      </c>
      <c r="D30">
        <v>168</v>
      </c>
      <c r="E30" s="6">
        <f>VLOOKUP(RawData[[#This Row],[W Team]],WP_Calc[],4,0)</f>
        <v>0.4</v>
      </c>
      <c r="F30" s="6">
        <f>VLOOKUP(RawData[[#This Row],[L Team]],WP_Calc[],4,0)</f>
        <v>0.7</v>
      </c>
      <c r="G30" s="6">
        <f>VLOOKUP(RawData[[#This Row],[W Team]],OWP_Calc[],2,0)</f>
        <v>0.54</v>
      </c>
      <c r="H30" s="6">
        <f>VLOOKUP(RawData[[#This Row],[L Team]],OWP_Calc[],2,0)</f>
        <v>0.54</v>
      </c>
    </row>
    <row r="31" spans="1:8" x14ac:dyDescent="0.2">
      <c r="A31" t="s">
        <v>45</v>
      </c>
      <c r="B31">
        <v>182</v>
      </c>
      <c r="C31" t="s">
        <v>33</v>
      </c>
      <c r="D31">
        <v>118</v>
      </c>
      <c r="E31" s="6">
        <f>VLOOKUP(RawData[[#This Row],[W Team]],WP_Calc[],4,0)</f>
        <v>0.4</v>
      </c>
      <c r="F31" s="6">
        <f>VLOOKUP(RawData[[#This Row],[L Team]],WP_Calc[],4,0)</f>
        <v>0.3</v>
      </c>
      <c r="G31" s="6">
        <f>VLOOKUP(RawData[[#This Row],[W Team]],OWP_Calc[],2,0)</f>
        <v>0.47000000000000003</v>
      </c>
      <c r="H31" s="6">
        <f>VLOOKUP(RawData[[#This Row],[L Team]],OWP_Calc[],2,0)</f>
        <v>0.5</v>
      </c>
    </row>
    <row r="32" spans="1:8" x14ac:dyDescent="0.2">
      <c r="A32" t="s">
        <v>40</v>
      </c>
      <c r="B32">
        <v>173</v>
      </c>
      <c r="C32" t="s">
        <v>32</v>
      </c>
      <c r="D32">
        <v>123</v>
      </c>
      <c r="E32" s="6">
        <f>VLOOKUP(RawData[[#This Row],[W Team]],WP_Calc[],4,0)</f>
        <v>0.8</v>
      </c>
      <c r="F32" s="6">
        <f>VLOOKUP(RawData[[#This Row],[L Team]],WP_Calc[],4,0)</f>
        <v>0.3</v>
      </c>
      <c r="G32" s="6">
        <f>VLOOKUP(RawData[[#This Row],[W Team]],OWP_Calc[],2,0)</f>
        <v>0.43</v>
      </c>
      <c r="H32" s="6">
        <f>VLOOKUP(RawData[[#This Row],[L Team]],OWP_Calc[],2,0)</f>
        <v>0.49000000000000005</v>
      </c>
    </row>
    <row r="33" spans="1:8" x14ac:dyDescent="0.2">
      <c r="A33" t="s">
        <v>35</v>
      </c>
      <c r="B33">
        <v>162</v>
      </c>
      <c r="C33" t="s">
        <v>44</v>
      </c>
      <c r="D33">
        <v>154</v>
      </c>
      <c r="E33" s="6">
        <f>VLOOKUP(RawData[[#This Row],[W Team]],WP_Calc[],4,0)</f>
        <v>0.7</v>
      </c>
      <c r="F33" s="6">
        <f>VLOOKUP(RawData[[#This Row],[L Team]],WP_Calc[],4,0)</f>
        <v>0.7</v>
      </c>
      <c r="G33" s="6">
        <f>VLOOKUP(RawData[[#This Row],[W Team]],OWP_Calc[],2,0)</f>
        <v>0.48</v>
      </c>
      <c r="H33" s="6">
        <f>VLOOKUP(RawData[[#This Row],[L Team]],OWP_Calc[],2,0)</f>
        <v>0.57000000000000006</v>
      </c>
    </row>
    <row r="34" spans="1:8" x14ac:dyDescent="0.2">
      <c r="A34" t="s">
        <v>31</v>
      </c>
      <c r="B34">
        <v>168</v>
      </c>
      <c r="C34" t="s">
        <v>38</v>
      </c>
      <c r="D34">
        <v>157</v>
      </c>
      <c r="E34" s="6">
        <f>VLOOKUP(RawData[[#This Row],[W Team]],WP_Calc[],4,0)</f>
        <v>0.5</v>
      </c>
      <c r="F34" s="6">
        <f>VLOOKUP(RawData[[#This Row],[L Team]],WP_Calc[],4,0)</f>
        <v>0.4</v>
      </c>
      <c r="G34" s="6">
        <f>VLOOKUP(RawData[[#This Row],[W Team]],OWP_Calc[],2,0)</f>
        <v>0.47000000000000003</v>
      </c>
      <c r="H34" s="6">
        <f>VLOOKUP(RawData[[#This Row],[L Team]],OWP_Calc[],2,0)</f>
        <v>0.45</v>
      </c>
    </row>
    <row r="35" spans="1:8" x14ac:dyDescent="0.2">
      <c r="A35" t="s">
        <v>29</v>
      </c>
      <c r="B35">
        <v>172</v>
      </c>
      <c r="C35" t="s">
        <v>39</v>
      </c>
      <c r="D35">
        <v>143</v>
      </c>
      <c r="E35" s="6">
        <f>VLOOKUP(RawData[[#This Row],[W Team]],WP_Calc[],4,0)</f>
        <v>0.5</v>
      </c>
      <c r="F35" s="6">
        <f>VLOOKUP(RawData[[#This Row],[L Team]],WP_Calc[],4,0)</f>
        <v>0.4</v>
      </c>
      <c r="G35" s="6">
        <f>VLOOKUP(RawData[[#This Row],[W Team]],OWP_Calc[],2,0)</f>
        <v>0.53</v>
      </c>
      <c r="H35" s="6">
        <f>VLOOKUP(RawData[[#This Row],[L Team]],OWP_Calc[],2,0)</f>
        <v>0.53</v>
      </c>
    </row>
    <row r="36" spans="1:8" x14ac:dyDescent="0.2">
      <c r="A36" t="s">
        <v>43</v>
      </c>
      <c r="B36">
        <v>126</v>
      </c>
      <c r="C36" t="s">
        <v>37</v>
      </c>
      <c r="D36">
        <v>120</v>
      </c>
      <c r="E36" s="6">
        <f>VLOOKUP(RawData[[#This Row],[W Team]],WP_Calc[],4,0)</f>
        <v>0.5</v>
      </c>
      <c r="F36" s="6">
        <f>VLOOKUP(RawData[[#This Row],[L Team]],WP_Calc[],4,0)</f>
        <v>0.1</v>
      </c>
      <c r="G36" s="6">
        <f>VLOOKUP(RawData[[#This Row],[W Team]],OWP_Calc[],2,0)</f>
        <v>0.54</v>
      </c>
      <c r="H36" s="6">
        <f>VLOOKUP(RawData[[#This Row],[L Team]],OWP_Calc[],2,0)</f>
        <v>0.51</v>
      </c>
    </row>
    <row r="37" spans="1:8" x14ac:dyDescent="0.2">
      <c r="A37" t="s">
        <v>28</v>
      </c>
      <c r="B37">
        <v>119</v>
      </c>
      <c r="C37" t="s">
        <v>30</v>
      </c>
      <c r="D37">
        <v>115</v>
      </c>
      <c r="E37" s="6">
        <f>VLOOKUP(RawData[[#This Row],[W Team]],WP_Calc[],4,0)</f>
        <v>0.4</v>
      </c>
      <c r="F37" s="6">
        <f>VLOOKUP(RawData[[#This Row],[L Team]],WP_Calc[],4,0)</f>
        <v>0.5</v>
      </c>
      <c r="G37" s="6">
        <f>VLOOKUP(RawData[[#This Row],[W Team]],OWP_Calc[],2,0)</f>
        <v>0.48</v>
      </c>
      <c r="H37" s="6">
        <f>VLOOKUP(RawData[[#This Row],[L Team]],OWP_Calc[],2,0)</f>
        <v>0.47000000000000003</v>
      </c>
    </row>
    <row r="38" spans="1:8" x14ac:dyDescent="0.2">
      <c r="A38" t="s">
        <v>29</v>
      </c>
      <c r="B38">
        <v>137</v>
      </c>
      <c r="C38" t="s">
        <v>44</v>
      </c>
      <c r="D38">
        <v>114</v>
      </c>
      <c r="E38" s="6">
        <f>VLOOKUP(RawData[[#This Row],[W Team]],WP_Calc[],4,0)</f>
        <v>0.5</v>
      </c>
      <c r="F38" s="6">
        <f>VLOOKUP(RawData[[#This Row],[L Team]],WP_Calc[],4,0)</f>
        <v>0.7</v>
      </c>
      <c r="G38" s="6">
        <f>VLOOKUP(RawData[[#This Row],[W Team]],OWP_Calc[],2,0)</f>
        <v>0.53</v>
      </c>
      <c r="H38" s="6">
        <f>VLOOKUP(RawData[[#This Row],[L Team]],OWP_Calc[],2,0)</f>
        <v>0.57000000000000006</v>
      </c>
    </row>
    <row r="39" spans="1:8" x14ac:dyDescent="0.2">
      <c r="A39" t="s">
        <v>41</v>
      </c>
      <c r="B39">
        <v>164</v>
      </c>
      <c r="C39" t="s">
        <v>37</v>
      </c>
      <c r="D39">
        <v>97</v>
      </c>
      <c r="E39" s="6">
        <f>VLOOKUP(RawData[[#This Row],[W Team]],WP_Calc[],4,0)</f>
        <v>0.4</v>
      </c>
      <c r="F39" s="6">
        <f>VLOOKUP(RawData[[#This Row],[L Team]],WP_Calc[],4,0)</f>
        <v>0.1</v>
      </c>
      <c r="G39" s="6">
        <f>VLOOKUP(RawData[[#This Row],[W Team]],OWP_Calc[],2,0)</f>
        <v>0.54</v>
      </c>
      <c r="H39" s="6">
        <f>VLOOKUP(RawData[[#This Row],[L Team]],OWP_Calc[],2,0)</f>
        <v>0.51</v>
      </c>
    </row>
    <row r="40" spans="1:8" x14ac:dyDescent="0.2">
      <c r="A40" t="s">
        <v>30</v>
      </c>
      <c r="B40">
        <v>146</v>
      </c>
      <c r="C40" t="s">
        <v>33</v>
      </c>
      <c r="D40">
        <v>143</v>
      </c>
      <c r="E40" s="6">
        <f>VLOOKUP(RawData[[#This Row],[W Team]],WP_Calc[],4,0)</f>
        <v>0.5</v>
      </c>
      <c r="F40" s="6">
        <f>VLOOKUP(RawData[[#This Row],[L Team]],WP_Calc[],4,0)</f>
        <v>0.3</v>
      </c>
      <c r="G40" s="6">
        <f>VLOOKUP(RawData[[#This Row],[W Team]],OWP_Calc[],2,0)</f>
        <v>0.47000000000000003</v>
      </c>
      <c r="H40" s="6">
        <f>VLOOKUP(RawData[[#This Row],[L Team]],OWP_Calc[],2,0)</f>
        <v>0.5</v>
      </c>
    </row>
    <row r="41" spans="1:8" x14ac:dyDescent="0.2">
      <c r="A41" t="s">
        <v>38</v>
      </c>
      <c r="B41">
        <v>147</v>
      </c>
      <c r="C41" t="s">
        <v>45</v>
      </c>
      <c r="D41">
        <v>141</v>
      </c>
      <c r="E41" s="6">
        <f>VLOOKUP(RawData[[#This Row],[W Team]],WP_Calc[],4,0)</f>
        <v>0.4</v>
      </c>
      <c r="F41" s="6">
        <f>VLOOKUP(RawData[[#This Row],[L Team]],WP_Calc[],4,0)</f>
        <v>0.4</v>
      </c>
      <c r="G41" s="6">
        <f>VLOOKUP(RawData[[#This Row],[W Team]],OWP_Calc[],2,0)</f>
        <v>0.45</v>
      </c>
      <c r="H41" s="6">
        <f>VLOOKUP(RawData[[#This Row],[L Team]],OWP_Calc[],2,0)</f>
        <v>0.47000000000000003</v>
      </c>
    </row>
    <row r="42" spans="1:8" x14ac:dyDescent="0.2">
      <c r="A42" t="s">
        <v>34</v>
      </c>
      <c r="B42">
        <v>143</v>
      </c>
      <c r="C42" t="s">
        <v>43</v>
      </c>
      <c r="D42">
        <v>98</v>
      </c>
      <c r="E42" s="6">
        <f>VLOOKUP(RawData[[#This Row],[W Team]],WP_Calc[],4,0)</f>
        <v>0.8</v>
      </c>
      <c r="F42" s="6">
        <f>VLOOKUP(RawData[[#This Row],[L Team]],WP_Calc[],4,0)</f>
        <v>0.5</v>
      </c>
      <c r="G42" s="6">
        <f>VLOOKUP(RawData[[#This Row],[W Team]],OWP_Calc[],2,0)</f>
        <v>0.52999999999999992</v>
      </c>
      <c r="H42" s="6">
        <f>VLOOKUP(RawData[[#This Row],[L Team]],OWP_Calc[],2,0)</f>
        <v>0.54</v>
      </c>
    </row>
    <row r="43" spans="1:8" x14ac:dyDescent="0.2">
      <c r="A43" t="s">
        <v>42</v>
      </c>
      <c r="B43">
        <v>190</v>
      </c>
      <c r="C43" t="s">
        <v>35</v>
      </c>
      <c r="D43">
        <v>127</v>
      </c>
      <c r="E43" s="6">
        <f>VLOOKUP(RawData[[#This Row],[W Team]],WP_Calc[],4,0)</f>
        <v>0.7</v>
      </c>
      <c r="F43" s="6">
        <f>VLOOKUP(RawData[[#This Row],[L Team]],WP_Calc[],4,0)</f>
        <v>0.7</v>
      </c>
      <c r="G43" s="6">
        <f>VLOOKUP(RawData[[#This Row],[W Team]],OWP_Calc[],2,0)</f>
        <v>0.54</v>
      </c>
      <c r="H43" s="6">
        <f>VLOOKUP(RawData[[#This Row],[L Team]],OWP_Calc[],2,0)</f>
        <v>0.48</v>
      </c>
    </row>
    <row r="44" spans="1:8" x14ac:dyDescent="0.2">
      <c r="A44" t="s">
        <v>36</v>
      </c>
      <c r="B44">
        <v>152</v>
      </c>
      <c r="C44" t="s">
        <v>31</v>
      </c>
      <c r="D44">
        <v>149</v>
      </c>
      <c r="E44" s="6">
        <f>VLOOKUP(RawData[[#This Row],[W Team]],WP_Calc[],4,0)</f>
        <v>0.6</v>
      </c>
      <c r="F44" s="6">
        <f>VLOOKUP(RawData[[#This Row],[L Team]],WP_Calc[],4,0)</f>
        <v>0.5</v>
      </c>
      <c r="G44" s="6">
        <f>VLOOKUP(RawData[[#This Row],[W Team]],OWP_Calc[],2,0)</f>
        <v>0.46999999999999992</v>
      </c>
      <c r="H44" s="6">
        <f>VLOOKUP(RawData[[#This Row],[L Team]],OWP_Calc[],2,0)</f>
        <v>0.47000000000000003</v>
      </c>
    </row>
    <row r="45" spans="1:8" x14ac:dyDescent="0.2">
      <c r="A45" t="s">
        <v>32</v>
      </c>
      <c r="B45">
        <v>137</v>
      </c>
      <c r="C45" t="s">
        <v>28</v>
      </c>
      <c r="D45">
        <v>77</v>
      </c>
      <c r="E45" s="6">
        <f>VLOOKUP(RawData[[#This Row],[W Team]],WP_Calc[],4,0)</f>
        <v>0.3</v>
      </c>
      <c r="F45" s="6">
        <f>VLOOKUP(RawData[[#This Row],[L Team]],WP_Calc[],4,0)</f>
        <v>0.4</v>
      </c>
      <c r="G45" s="6">
        <f>VLOOKUP(RawData[[#This Row],[W Team]],OWP_Calc[],2,0)</f>
        <v>0.49000000000000005</v>
      </c>
      <c r="H45" s="6">
        <f>VLOOKUP(RawData[[#This Row],[L Team]],OWP_Calc[],2,0)</f>
        <v>0.48</v>
      </c>
    </row>
    <row r="46" spans="1:8" x14ac:dyDescent="0.2">
      <c r="A46" t="s">
        <v>44</v>
      </c>
      <c r="B46">
        <v>163</v>
      </c>
      <c r="C46" t="s">
        <v>34</v>
      </c>
      <c r="D46">
        <v>126</v>
      </c>
      <c r="E46" s="6">
        <f>VLOOKUP(RawData[[#This Row],[W Team]],WP_Calc[],4,0)</f>
        <v>0.7</v>
      </c>
      <c r="F46" s="6">
        <f>VLOOKUP(RawData[[#This Row],[L Team]],WP_Calc[],4,0)</f>
        <v>0.8</v>
      </c>
      <c r="G46" s="6">
        <f>VLOOKUP(RawData[[#This Row],[W Team]],OWP_Calc[],2,0)</f>
        <v>0.57000000000000006</v>
      </c>
      <c r="H46" s="6">
        <f>VLOOKUP(RawData[[#This Row],[L Team]],OWP_Calc[],2,0)</f>
        <v>0.52999999999999992</v>
      </c>
    </row>
    <row r="47" spans="1:8" x14ac:dyDescent="0.2">
      <c r="A47" t="s">
        <v>32</v>
      </c>
      <c r="B47">
        <v>137</v>
      </c>
      <c r="C47" t="s">
        <v>38</v>
      </c>
      <c r="D47">
        <v>80</v>
      </c>
      <c r="E47" s="6">
        <f>VLOOKUP(RawData[[#This Row],[W Team]],WP_Calc[],4,0)</f>
        <v>0.3</v>
      </c>
      <c r="F47" s="6">
        <f>VLOOKUP(RawData[[#This Row],[L Team]],WP_Calc[],4,0)</f>
        <v>0.4</v>
      </c>
      <c r="G47" s="6">
        <f>VLOOKUP(RawData[[#This Row],[W Team]],OWP_Calc[],2,0)</f>
        <v>0.49000000000000005</v>
      </c>
      <c r="H47" s="6">
        <f>VLOOKUP(RawData[[#This Row],[L Team]],OWP_Calc[],2,0)</f>
        <v>0.45</v>
      </c>
    </row>
    <row r="48" spans="1:8" x14ac:dyDescent="0.2">
      <c r="A48" t="s">
        <v>29</v>
      </c>
      <c r="B48">
        <v>132</v>
      </c>
      <c r="C48" t="s">
        <v>43</v>
      </c>
      <c r="D48">
        <v>100</v>
      </c>
      <c r="E48" s="6">
        <f>VLOOKUP(RawData[[#This Row],[W Team]],WP_Calc[],4,0)</f>
        <v>0.5</v>
      </c>
      <c r="F48" s="6">
        <f>VLOOKUP(RawData[[#This Row],[L Team]],WP_Calc[],4,0)</f>
        <v>0.5</v>
      </c>
      <c r="G48" s="6">
        <f>VLOOKUP(RawData[[#This Row],[W Team]],OWP_Calc[],2,0)</f>
        <v>0.53</v>
      </c>
      <c r="H48" s="6">
        <f>VLOOKUP(RawData[[#This Row],[L Team]],OWP_Calc[],2,0)</f>
        <v>0.54</v>
      </c>
    </row>
    <row r="49" spans="1:8" x14ac:dyDescent="0.2">
      <c r="A49" t="s">
        <v>41</v>
      </c>
      <c r="B49">
        <v>141</v>
      </c>
      <c r="C49" t="s">
        <v>33</v>
      </c>
      <c r="D49">
        <v>135</v>
      </c>
      <c r="E49" s="6">
        <f>VLOOKUP(RawData[[#This Row],[W Team]],WP_Calc[],4,0)</f>
        <v>0.4</v>
      </c>
      <c r="F49" s="6">
        <f>VLOOKUP(RawData[[#This Row],[L Team]],WP_Calc[],4,0)</f>
        <v>0.3</v>
      </c>
      <c r="G49" s="6">
        <f>VLOOKUP(RawData[[#This Row],[W Team]],OWP_Calc[],2,0)</f>
        <v>0.54</v>
      </c>
      <c r="H49" s="6">
        <f>VLOOKUP(RawData[[#This Row],[L Team]],OWP_Calc[],2,0)</f>
        <v>0.5</v>
      </c>
    </row>
    <row r="50" spans="1:8" x14ac:dyDescent="0.2">
      <c r="A50" s="15" t="s">
        <v>42</v>
      </c>
      <c r="B50" s="16">
        <v>155</v>
      </c>
      <c r="C50" s="16" t="s">
        <v>46</v>
      </c>
      <c r="D50" s="17">
        <v>130</v>
      </c>
      <c r="E50" s="6">
        <f>VLOOKUP(RawData[[#This Row],[W Team]],WP_Calc[],4,0)</f>
        <v>0.7</v>
      </c>
      <c r="F50" s="6">
        <f>VLOOKUP(RawData[[#This Row],[L Team]],WP_Calc[],4,0)</f>
        <v>0.6</v>
      </c>
      <c r="G50" s="6">
        <f>VLOOKUP(RawData[[#This Row],[W Team]],OWP_Calc[],2,0)</f>
        <v>0.54</v>
      </c>
      <c r="H50" s="6">
        <f>VLOOKUP(RawData[[#This Row],[L Team]],OWP_Calc[],2,0)</f>
        <v>0.46999999999999992</v>
      </c>
    </row>
    <row r="51" spans="1:8" x14ac:dyDescent="0.2">
      <c r="A51" s="15" t="s">
        <v>40</v>
      </c>
      <c r="B51" s="16">
        <v>165</v>
      </c>
      <c r="C51" s="16" t="s">
        <v>31</v>
      </c>
      <c r="D51" s="18">
        <v>154</v>
      </c>
      <c r="E51" s="6">
        <f>VLOOKUP(RawData[[#This Row],[W Team]],WP_Calc[],4,0)</f>
        <v>0.8</v>
      </c>
      <c r="F51" s="6">
        <f>VLOOKUP(RawData[[#This Row],[L Team]],WP_Calc[],4,0)</f>
        <v>0.5</v>
      </c>
      <c r="G51" s="6">
        <f>VLOOKUP(RawData[[#This Row],[W Team]],OWP_Calc[],2,0)</f>
        <v>0.43</v>
      </c>
      <c r="H51" s="6">
        <f>VLOOKUP(RawData[[#This Row],[L Team]],OWP_Calc[],2,0)</f>
        <v>0.47000000000000003</v>
      </c>
    </row>
    <row r="52" spans="1:8" x14ac:dyDescent="0.2">
      <c r="A52" s="15" t="s">
        <v>35</v>
      </c>
      <c r="B52" s="16">
        <v>168</v>
      </c>
      <c r="C52" s="16" t="s">
        <v>39</v>
      </c>
      <c r="D52" s="19">
        <v>80</v>
      </c>
      <c r="E52" s="6">
        <f>VLOOKUP(RawData[[#This Row],[W Team]],WP_Calc[],4,0)</f>
        <v>0.7</v>
      </c>
      <c r="F52" s="6">
        <f>VLOOKUP(RawData[[#This Row],[L Team]],WP_Calc[],4,0)</f>
        <v>0.4</v>
      </c>
      <c r="G52" s="6">
        <f>VLOOKUP(RawData[[#This Row],[W Team]],OWP_Calc[],2,0)</f>
        <v>0.48</v>
      </c>
      <c r="H52" s="6">
        <f>VLOOKUP(RawData[[#This Row],[L Team]],OWP_Calc[],2,0)</f>
        <v>0.53</v>
      </c>
    </row>
    <row r="53" spans="1:8" x14ac:dyDescent="0.2">
      <c r="A53" s="15" t="s">
        <v>30</v>
      </c>
      <c r="B53" s="16">
        <v>174</v>
      </c>
      <c r="C53" s="16" t="s">
        <v>37</v>
      </c>
      <c r="D53" s="20">
        <v>92</v>
      </c>
      <c r="E53" s="6">
        <f>VLOOKUP(RawData[[#This Row],[W Team]],WP_Calc[],4,0)</f>
        <v>0.5</v>
      </c>
      <c r="F53" s="6">
        <f>VLOOKUP(RawData[[#This Row],[L Team]],WP_Calc[],4,0)</f>
        <v>0.1</v>
      </c>
      <c r="G53" s="6">
        <f>VLOOKUP(RawData[[#This Row],[W Team]],OWP_Calc[],2,0)</f>
        <v>0.47000000000000003</v>
      </c>
      <c r="H53" s="6">
        <f>VLOOKUP(RawData[[#This Row],[L Team]],OWP_Calc[],2,0)</f>
        <v>0.51</v>
      </c>
    </row>
    <row r="54" spans="1:8" x14ac:dyDescent="0.2">
      <c r="A54" s="15" t="s">
        <v>45</v>
      </c>
      <c r="B54" s="16">
        <v>144</v>
      </c>
      <c r="C54" s="16" t="s">
        <v>28</v>
      </c>
      <c r="D54" s="17">
        <v>104</v>
      </c>
      <c r="E54" s="6">
        <f>VLOOKUP(RawData[[#This Row],[W Team]],WP_Calc[],4,0)</f>
        <v>0.4</v>
      </c>
      <c r="F54" s="6">
        <f>VLOOKUP(RawData[[#This Row],[L Team]],WP_Calc[],4,0)</f>
        <v>0.4</v>
      </c>
      <c r="G54" s="6">
        <f>VLOOKUP(RawData[[#This Row],[W Team]],OWP_Calc[],2,0)</f>
        <v>0.47000000000000003</v>
      </c>
      <c r="H54" s="6">
        <f>VLOOKUP(RawData[[#This Row],[L Team]],OWP_Calc[],2,0)</f>
        <v>0.48</v>
      </c>
    </row>
    <row r="55" spans="1:8" x14ac:dyDescent="0.2">
      <c r="A55" s="15" t="s">
        <v>42</v>
      </c>
      <c r="B55" s="16">
        <v>176</v>
      </c>
      <c r="C55" s="16" t="s">
        <v>29</v>
      </c>
      <c r="D55" s="17">
        <v>115</v>
      </c>
      <c r="E55" s="6">
        <f>VLOOKUP(RawData[[#This Row],[W Team]],WP_Calc[],4,0)</f>
        <v>0.7</v>
      </c>
      <c r="F55" s="6">
        <f>VLOOKUP(RawData[[#This Row],[L Team]],WP_Calc[],4,0)</f>
        <v>0.5</v>
      </c>
      <c r="G55" s="6">
        <f>VLOOKUP(RawData[[#This Row],[W Team]],OWP_Calc[],2,0)</f>
        <v>0.54</v>
      </c>
      <c r="H55" s="6">
        <f>VLOOKUP(RawData[[#This Row],[L Team]],OWP_Calc[],2,0)</f>
        <v>0.53</v>
      </c>
    </row>
    <row r="56" spans="1:8" x14ac:dyDescent="0.2">
      <c r="A56" s="15" t="s">
        <v>36</v>
      </c>
      <c r="B56" s="16">
        <v>141</v>
      </c>
      <c r="C56" s="16" t="s">
        <v>41</v>
      </c>
      <c r="D56" s="21">
        <v>124</v>
      </c>
      <c r="E56" s="6">
        <f>VLOOKUP(RawData[[#This Row],[W Team]],WP_Calc[],4,0)</f>
        <v>0.6</v>
      </c>
      <c r="F56" s="6">
        <f>VLOOKUP(RawData[[#This Row],[L Team]],WP_Calc[],4,0)</f>
        <v>0.4</v>
      </c>
      <c r="G56" s="6">
        <f>VLOOKUP(RawData[[#This Row],[W Team]],OWP_Calc[],2,0)</f>
        <v>0.46999999999999992</v>
      </c>
      <c r="H56" s="6">
        <f>VLOOKUP(RawData[[#This Row],[L Team]],OWP_Calc[],2,0)</f>
        <v>0.54</v>
      </c>
    </row>
    <row r="57" spans="1:8" x14ac:dyDescent="0.2">
      <c r="A57" s="15" t="s">
        <v>40</v>
      </c>
      <c r="B57" s="16">
        <v>174</v>
      </c>
      <c r="C57" s="16" t="s">
        <v>30</v>
      </c>
      <c r="D57" s="22">
        <v>158</v>
      </c>
      <c r="E57" s="6">
        <f>VLOOKUP(RawData[[#This Row],[W Team]],WP_Calc[],4,0)</f>
        <v>0.8</v>
      </c>
      <c r="F57" s="6">
        <f>VLOOKUP(RawData[[#This Row],[L Team]],WP_Calc[],4,0)</f>
        <v>0.5</v>
      </c>
      <c r="G57" s="6">
        <f>VLOOKUP(RawData[[#This Row],[W Team]],OWP_Calc[],2,0)</f>
        <v>0.43</v>
      </c>
      <c r="H57" s="6">
        <f>VLOOKUP(RawData[[#This Row],[L Team]],OWP_Calc[],2,0)</f>
        <v>0.47000000000000003</v>
      </c>
    </row>
    <row r="58" spans="1:8" x14ac:dyDescent="0.2">
      <c r="A58" s="15" t="s">
        <v>39</v>
      </c>
      <c r="B58" s="16">
        <v>174</v>
      </c>
      <c r="C58" s="16" t="s">
        <v>45</v>
      </c>
      <c r="D58" s="23">
        <v>114</v>
      </c>
      <c r="E58" s="6">
        <f>VLOOKUP(RawData[[#This Row],[W Team]],WP_Calc[],4,0)</f>
        <v>0.4</v>
      </c>
      <c r="F58" s="6">
        <f>VLOOKUP(RawData[[#This Row],[L Team]],WP_Calc[],4,0)</f>
        <v>0.4</v>
      </c>
      <c r="G58" s="6">
        <f>VLOOKUP(RawData[[#This Row],[W Team]],OWP_Calc[],2,0)</f>
        <v>0.53</v>
      </c>
      <c r="H58" s="6">
        <f>VLOOKUP(RawData[[#This Row],[L Team]],OWP_Calc[],2,0)</f>
        <v>0.47000000000000003</v>
      </c>
    </row>
    <row r="59" spans="1:8" x14ac:dyDescent="0.2">
      <c r="A59" s="15" t="s">
        <v>35</v>
      </c>
      <c r="B59" s="16">
        <v>159</v>
      </c>
      <c r="C59" s="16" t="s">
        <v>37</v>
      </c>
      <c r="D59" s="24">
        <v>142</v>
      </c>
      <c r="E59" s="6">
        <f>VLOOKUP(RawData[[#This Row],[W Team]],WP_Calc[],4,0)</f>
        <v>0.7</v>
      </c>
      <c r="F59" s="6">
        <f>VLOOKUP(RawData[[#This Row],[L Team]],WP_Calc[],4,0)</f>
        <v>0.1</v>
      </c>
      <c r="G59" s="6">
        <f>VLOOKUP(RawData[[#This Row],[W Team]],OWP_Calc[],2,0)</f>
        <v>0.48</v>
      </c>
      <c r="H59" s="6">
        <f>VLOOKUP(RawData[[#This Row],[L Team]],OWP_Calc[],2,0)</f>
        <v>0.51</v>
      </c>
    </row>
    <row r="60" spans="1:8" x14ac:dyDescent="0.2">
      <c r="A60" s="15" t="s">
        <v>34</v>
      </c>
      <c r="B60" s="16">
        <v>185</v>
      </c>
      <c r="C60" s="16" t="s">
        <v>33</v>
      </c>
      <c r="D60" s="25">
        <v>134</v>
      </c>
      <c r="E60" s="6">
        <f>VLOOKUP(RawData[[#This Row],[W Team]],WP_Calc[],4,0)</f>
        <v>0.8</v>
      </c>
      <c r="F60" s="6">
        <f>VLOOKUP(RawData[[#This Row],[L Team]],WP_Calc[],4,0)</f>
        <v>0.3</v>
      </c>
      <c r="G60" s="6">
        <f>VLOOKUP(RawData[[#This Row],[W Team]],OWP_Calc[],2,0)</f>
        <v>0.52999999999999992</v>
      </c>
      <c r="H60" s="6">
        <f>VLOOKUP(RawData[[#This Row],[L Team]],OWP_Calc[],2,0)</f>
        <v>0.5</v>
      </c>
    </row>
    <row r="61" spans="1:8" x14ac:dyDescent="0.2">
      <c r="A61" s="15" t="s">
        <v>28</v>
      </c>
      <c r="B61" s="16">
        <v>152</v>
      </c>
      <c r="C61" s="16" t="s">
        <v>38</v>
      </c>
      <c r="D61" s="26">
        <v>131</v>
      </c>
      <c r="E61" s="6">
        <f>VLOOKUP(RawData[[#This Row],[W Team]],WP_Calc[],4,0)</f>
        <v>0.4</v>
      </c>
      <c r="F61" s="6">
        <f>VLOOKUP(RawData[[#This Row],[L Team]],WP_Calc[],4,0)</f>
        <v>0.4</v>
      </c>
      <c r="G61" s="6">
        <f>VLOOKUP(RawData[[#This Row],[W Team]],OWP_Calc[],2,0)</f>
        <v>0.48</v>
      </c>
      <c r="H61" s="6">
        <f>VLOOKUP(RawData[[#This Row],[L Team]],OWP_Calc[],2,0)</f>
        <v>0.45</v>
      </c>
    </row>
    <row r="62" spans="1:8" x14ac:dyDescent="0.2">
      <c r="A62" s="15" t="s">
        <v>44</v>
      </c>
      <c r="B62" s="16">
        <v>214</v>
      </c>
      <c r="C62" s="16" t="s">
        <v>43</v>
      </c>
      <c r="D62" s="27">
        <v>148</v>
      </c>
      <c r="E62" s="6">
        <f>VLOOKUP(RawData[[#This Row],[W Team]],WP_Calc[],4,0)</f>
        <v>0.7</v>
      </c>
      <c r="F62" s="6">
        <f>VLOOKUP(RawData[[#This Row],[L Team]],WP_Calc[],4,0)</f>
        <v>0.5</v>
      </c>
      <c r="G62" s="6">
        <f>VLOOKUP(RawData[[#This Row],[W Team]],OWP_Calc[],2,0)</f>
        <v>0.57000000000000006</v>
      </c>
      <c r="H62" s="6">
        <f>VLOOKUP(RawData[[#This Row],[L Team]],OWP_Calc[],2,0)</f>
        <v>0.54</v>
      </c>
    </row>
    <row r="63" spans="1:8" x14ac:dyDescent="0.2">
      <c r="A63" s="15" t="s">
        <v>34</v>
      </c>
      <c r="B63" s="16">
        <v>183</v>
      </c>
      <c r="C63" s="16" t="s">
        <v>31</v>
      </c>
      <c r="D63" s="28">
        <v>146</v>
      </c>
      <c r="E63" s="6">
        <f>VLOOKUP(RawData[[#This Row],[W Team]],WP_Calc[],4,0)</f>
        <v>0.8</v>
      </c>
      <c r="F63" s="6">
        <f>VLOOKUP(RawData[[#This Row],[L Team]],WP_Calc[],4,0)</f>
        <v>0.5</v>
      </c>
      <c r="G63" s="6">
        <f>VLOOKUP(RawData[[#This Row],[W Team]],OWP_Calc[],2,0)</f>
        <v>0.52999999999999992</v>
      </c>
      <c r="H63" s="6">
        <f>VLOOKUP(RawData[[#This Row],[L Team]],OWP_Calc[],2,0)</f>
        <v>0.47000000000000003</v>
      </c>
    </row>
    <row r="64" spans="1:8" x14ac:dyDescent="0.2">
      <c r="A64" s="15" t="s">
        <v>43</v>
      </c>
      <c r="B64" s="16">
        <v>171</v>
      </c>
      <c r="C64" s="16" t="s">
        <v>32</v>
      </c>
      <c r="D64" s="29">
        <v>134</v>
      </c>
      <c r="E64" s="6">
        <f>VLOOKUP(RawData[[#This Row],[W Team]],WP_Calc[],4,0)</f>
        <v>0.5</v>
      </c>
      <c r="F64" s="6">
        <f>VLOOKUP(RawData[[#This Row],[L Team]],WP_Calc[],4,0)</f>
        <v>0.3</v>
      </c>
      <c r="G64" s="6">
        <f>VLOOKUP(RawData[[#This Row],[W Team]],OWP_Calc[],2,0)</f>
        <v>0.54</v>
      </c>
      <c r="H64" s="6">
        <f>VLOOKUP(RawData[[#This Row],[L Team]],OWP_Calc[],2,0)</f>
        <v>0.49000000000000005</v>
      </c>
    </row>
    <row r="65" spans="1:8" x14ac:dyDescent="0.2">
      <c r="A65" s="15" t="s">
        <v>35</v>
      </c>
      <c r="B65" s="16">
        <v>173</v>
      </c>
      <c r="C65" s="16" t="s">
        <v>45</v>
      </c>
      <c r="D65" s="30">
        <v>150</v>
      </c>
      <c r="E65" s="6">
        <f>VLOOKUP(RawData[[#This Row],[W Team]],WP_Calc[],4,0)</f>
        <v>0.7</v>
      </c>
      <c r="F65" s="6">
        <f>VLOOKUP(RawData[[#This Row],[L Team]],WP_Calc[],4,0)</f>
        <v>0.4</v>
      </c>
      <c r="G65" s="6">
        <f>VLOOKUP(RawData[[#This Row],[W Team]],OWP_Calc[],2,0)</f>
        <v>0.48</v>
      </c>
      <c r="H65" s="6">
        <f>VLOOKUP(RawData[[#This Row],[L Team]],OWP_Calc[],2,0)</f>
        <v>0.47000000000000003</v>
      </c>
    </row>
    <row r="66" spans="1:8" x14ac:dyDescent="0.2">
      <c r="A66" s="15" t="s">
        <v>36</v>
      </c>
      <c r="B66" s="16">
        <v>133</v>
      </c>
      <c r="C66" s="16" t="s">
        <v>28</v>
      </c>
      <c r="D66" s="31">
        <v>86</v>
      </c>
      <c r="E66" s="6">
        <f>VLOOKUP(RawData[[#This Row],[W Team]],WP_Calc[],4,0)</f>
        <v>0.6</v>
      </c>
      <c r="F66" s="6">
        <f>VLOOKUP(RawData[[#This Row],[L Team]],WP_Calc[],4,0)</f>
        <v>0.4</v>
      </c>
      <c r="G66" s="6">
        <f>VLOOKUP(RawData[[#This Row],[W Team]],OWP_Calc[],2,0)</f>
        <v>0.46999999999999992</v>
      </c>
      <c r="H66" s="6">
        <f>VLOOKUP(RawData[[#This Row],[L Team]],OWP_Calc[],2,0)</f>
        <v>0.48</v>
      </c>
    </row>
    <row r="67" spans="1:8" x14ac:dyDescent="0.2">
      <c r="A67" s="15" t="s">
        <v>29</v>
      </c>
      <c r="B67" s="16">
        <v>154</v>
      </c>
      <c r="C67" s="16" t="s">
        <v>38</v>
      </c>
      <c r="D67" s="32">
        <v>149</v>
      </c>
      <c r="E67" s="6">
        <f>VLOOKUP(RawData[[#This Row],[W Team]],WP_Calc[],4,0)</f>
        <v>0.5</v>
      </c>
      <c r="F67" s="6">
        <f>VLOOKUP(RawData[[#This Row],[L Team]],WP_Calc[],4,0)</f>
        <v>0.4</v>
      </c>
      <c r="G67" s="6">
        <f>VLOOKUP(RawData[[#This Row],[W Team]],OWP_Calc[],2,0)</f>
        <v>0.53</v>
      </c>
      <c r="H67" s="6">
        <f>VLOOKUP(RawData[[#This Row],[L Team]],OWP_Calc[],2,0)</f>
        <v>0.45</v>
      </c>
    </row>
    <row r="68" spans="1:8" x14ac:dyDescent="0.2">
      <c r="A68" s="15" t="s">
        <v>42</v>
      </c>
      <c r="B68" s="16">
        <v>207</v>
      </c>
      <c r="C68" s="16" t="s">
        <v>30</v>
      </c>
      <c r="D68" s="26">
        <v>120</v>
      </c>
      <c r="E68" s="6">
        <f>VLOOKUP(RawData[[#This Row],[W Team]],WP_Calc[],4,0)</f>
        <v>0.7</v>
      </c>
      <c r="F68" s="6">
        <f>VLOOKUP(RawData[[#This Row],[L Team]],WP_Calc[],4,0)</f>
        <v>0.5</v>
      </c>
      <c r="G68" s="6">
        <f>VLOOKUP(RawData[[#This Row],[W Team]],OWP_Calc[],2,0)</f>
        <v>0.54</v>
      </c>
      <c r="H68" s="6">
        <f>VLOOKUP(RawData[[#This Row],[L Team]],OWP_Calc[],2,0)</f>
        <v>0.47000000000000003</v>
      </c>
    </row>
    <row r="69" spans="1:8" x14ac:dyDescent="0.2">
      <c r="A69" s="15" t="s">
        <v>44</v>
      </c>
      <c r="B69" s="16">
        <v>166</v>
      </c>
      <c r="C69" s="16" t="s">
        <v>40</v>
      </c>
      <c r="D69" s="33">
        <v>146</v>
      </c>
      <c r="E69" s="6">
        <f>VLOOKUP(RawData[[#This Row],[W Team]],WP_Calc[],4,0)</f>
        <v>0.7</v>
      </c>
      <c r="F69" s="6">
        <f>VLOOKUP(RawData[[#This Row],[L Team]],WP_Calc[],4,0)</f>
        <v>0.8</v>
      </c>
      <c r="G69" s="6">
        <f>VLOOKUP(RawData[[#This Row],[W Team]],OWP_Calc[],2,0)</f>
        <v>0.57000000000000006</v>
      </c>
      <c r="H69" s="6">
        <f>VLOOKUP(RawData[[#This Row],[L Team]],OWP_Calc[],2,0)</f>
        <v>0.43</v>
      </c>
    </row>
    <row r="70" spans="1:8" x14ac:dyDescent="0.2">
      <c r="A70" s="15" t="s">
        <v>39</v>
      </c>
      <c r="B70" s="16">
        <v>168</v>
      </c>
      <c r="C70" s="16" t="s">
        <v>41</v>
      </c>
      <c r="D70" s="34">
        <v>135</v>
      </c>
      <c r="E70" s="6">
        <f>VLOOKUP(RawData[[#This Row],[W Team]],WP_Calc[],4,0)</f>
        <v>0.4</v>
      </c>
      <c r="F70" s="6">
        <f>VLOOKUP(RawData[[#This Row],[L Team]],WP_Calc[],4,0)</f>
        <v>0.4</v>
      </c>
      <c r="G70" s="6">
        <f>VLOOKUP(RawData[[#This Row],[W Team]],OWP_Calc[],2,0)</f>
        <v>0.53</v>
      </c>
      <c r="H70" s="6">
        <f>VLOOKUP(RawData[[#This Row],[L Team]],OWP_Calc[],2,0)</f>
        <v>0.54</v>
      </c>
    </row>
    <row r="71" spans="1:8" x14ac:dyDescent="0.2">
      <c r="A71" s="15" t="s">
        <v>33</v>
      </c>
      <c r="B71" s="16">
        <v>150</v>
      </c>
      <c r="C71" s="16" t="s">
        <v>37</v>
      </c>
      <c r="D71" s="35">
        <v>138</v>
      </c>
      <c r="E71" s="6">
        <f>VLOOKUP(RawData[[#This Row],[W Team]],WP_Calc[],4,0)</f>
        <v>0.3</v>
      </c>
      <c r="F71" s="6">
        <f>VLOOKUP(RawData[[#This Row],[L Team]],WP_Calc[],4,0)</f>
        <v>0.1</v>
      </c>
      <c r="G71" s="6">
        <f>VLOOKUP(RawData[[#This Row],[W Team]],OWP_Calc[],2,0)</f>
        <v>0.5</v>
      </c>
      <c r="H71" s="6">
        <f>VLOOKUP(RawData[[#This Row],[L Team]],OWP_Calc[],2,0)</f>
        <v>0.51</v>
      </c>
    </row>
    <row r="72" spans="1:8" x14ac:dyDescent="0.2">
      <c r="A72" s="15" t="s">
        <v>34</v>
      </c>
      <c r="B72" s="16">
        <v>163</v>
      </c>
      <c r="C72" s="16" t="s">
        <v>29</v>
      </c>
      <c r="D72" s="36">
        <v>144</v>
      </c>
      <c r="E72" s="6">
        <f>VLOOKUP(RawData[[#This Row],[W Team]],WP_Calc[],4,0)</f>
        <v>0.8</v>
      </c>
      <c r="F72" s="6">
        <f>VLOOKUP(RawData[[#This Row],[L Team]],WP_Calc[],4,0)</f>
        <v>0.5</v>
      </c>
      <c r="G72" s="6">
        <f>VLOOKUP(RawData[[#This Row],[W Team]],OWP_Calc[],2,0)</f>
        <v>0.52999999999999992</v>
      </c>
      <c r="H72" s="6">
        <f>VLOOKUP(RawData[[#This Row],[L Team]],OWP_Calc[],2,0)</f>
        <v>0.53</v>
      </c>
    </row>
    <row r="73" spans="1:8" x14ac:dyDescent="0.2">
      <c r="A73" s="15" t="s">
        <v>30</v>
      </c>
      <c r="B73" s="16">
        <v>189</v>
      </c>
      <c r="C73" s="16" t="s">
        <v>41</v>
      </c>
      <c r="D73" s="30">
        <v>148</v>
      </c>
      <c r="E73" s="6">
        <f>VLOOKUP(RawData[[#This Row],[W Team]],WP_Calc[],4,0)</f>
        <v>0.5</v>
      </c>
      <c r="F73" s="6">
        <f>VLOOKUP(RawData[[#This Row],[L Team]],WP_Calc[],4,0)</f>
        <v>0.4</v>
      </c>
      <c r="G73" s="6">
        <f>VLOOKUP(RawData[[#This Row],[W Team]],OWP_Calc[],2,0)</f>
        <v>0.47000000000000003</v>
      </c>
      <c r="H73" s="6">
        <f>VLOOKUP(RawData[[#This Row],[L Team]],OWP_Calc[],2,0)</f>
        <v>0.54</v>
      </c>
    </row>
    <row r="74" spans="1:8" x14ac:dyDescent="0.2">
      <c r="A74" s="15" t="s">
        <v>45</v>
      </c>
      <c r="B74" s="16">
        <v>177</v>
      </c>
      <c r="C74" s="16" t="s">
        <v>32</v>
      </c>
      <c r="D74" s="21">
        <v>122</v>
      </c>
      <c r="E74" s="6">
        <f>VLOOKUP(RawData[[#This Row],[W Team]],WP_Calc[],4,0)</f>
        <v>0.4</v>
      </c>
      <c r="F74" s="6">
        <f>VLOOKUP(RawData[[#This Row],[L Team]],WP_Calc[],4,0)</f>
        <v>0.3</v>
      </c>
      <c r="G74" s="6">
        <f>VLOOKUP(RawData[[#This Row],[W Team]],OWP_Calc[],2,0)</f>
        <v>0.47000000000000003</v>
      </c>
      <c r="H74" s="6">
        <f>VLOOKUP(RawData[[#This Row],[L Team]],OWP_Calc[],2,0)</f>
        <v>0.49000000000000005</v>
      </c>
    </row>
    <row r="75" spans="1:8" x14ac:dyDescent="0.2">
      <c r="A75" s="15" t="s">
        <v>43</v>
      </c>
      <c r="B75" s="16">
        <v>151</v>
      </c>
      <c r="C75" s="16" t="s">
        <v>35</v>
      </c>
      <c r="D75" s="17">
        <v>122</v>
      </c>
      <c r="E75" s="6">
        <f>VLOOKUP(RawData[[#This Row],[W Team]],WP_Calc[],4,0)</f>
        <v>0.5</v>
      </c>
      <c r="F75" s="6">
        <f>VLOOKUP(RawData[[#This Row],[L Team]],WP_Calc[],4,0)</f>
        <v>0.7</v>
      </c>
      <c r="G75" s="6">
        <f>VLOOKUP(RawData[[#This Row],[W Team]],OWP_Calc[],2,0)</f>
        <v>0.54</v>
      </c>
      <c r="H75" s="6">
        <f>VLOOKUP(RawData[[#This Row],[L Team]],OWP_Calc[],2,0)</f>
        <v>0.48</v>
      </c>
    </row>
    <row r="76" spans="1:8" x14ac:dyDescent="0.2">
      <c r="A76" s="15" t="s">
        <v>36</v>
      </c>
      <c r="B76" s="16">
        <v>141</v>
      </c>
      <c r="C76" s="16" t="s">
        <v>33</v>
      </c>
      <c r="D76" s="37">
        <v>137</v>
      </c>
      <c r="E76" s="6">
        <f>VLOOKUP(RawData[[#This Row],[W Team]],WP_Calc[],4,0)</f>
        <v>0.6</v>
      </c>
      <c r="F76" s="6">
        <f>VLOOKUP(RawData[[#This Row],[L Team]],WP_Calc[],4,0)</f>
        <v>0.3</v>
      </c>
      <c r="G76" s="6">
        <f>VLOOKUP(RawData[[#This Row],[W Team]],OWP_Calc[],2,0)</f>
        <v>0.46999999999999992</v>
      </c>
      <c r="H76" s="6">
        <f>VLOOKUP(RawData[[#This Row],[L Team]],OWP_Calc[],2,0)</f>
        <v>0.5</v>
      </c>
    </row>
    <row r="77" spans="1:8" x14ac:dyDescent="0.2">
      <c r="A77" s="15" t="s">
        <v>38</v>
      </c>
      <c r="B77" s="16">
        <v>167</v>
      </c>
      <c r="C77" s="16" t="s">
        <v>40</v>
      </c>
      <c r="D77" s="38">
        <v>143</v>
      </c>
      <c r="E77" s="6">
        <f>VLOOKUP(RawData[[#This Row],[W Team]],WP_Calc[],4,0)</f>
        <v>0.4</v>
      </c>
      <c r="F77" s="6">
        <f>VLOOKUP(RawData[[#This Row],[L Team]],WP_Calc[],4,0)</f>
        <v>0.8</v>
      </c>
      <c r="G77" s="6">
        <f>VLOOKUP(RawData[[#This Row],[W Team]],OWP_Calc[],2,0)</f>
        <v>0.45</v>
      </c>
      <c r="H77" s="6">
        <f>VLOOKUP(RawData[[#This Row],[L Team]],OWP_Calc[],2,0)</f>
        <v>0.43</v>
      </c>
    </row>
    <row r="78" spans="1:8" x14ac:dyDescent="0.2">
      <c r="A78" s="15" t="s">
        <v>42</v>
      </c>
      <c r="B78" s="16">
        <v>160</v>
      </c>
      <c r="C78" s="16" t="s">
        <v>44</v>
      </c>
      <c r="D78" s="35">
        <v>146</v>
      </c>
      <c r="E78" s="6">
        <f>VLOOKUP(RawData[[#This Row],[W Team]],WP_Calc[],4,0)</f>
        <v>0.7</v>
      </c>
      <c r="F78" s="6">
        <f>VLOOKUP(RawData[[#This Row],[L Team]],WP_Calc[],4,0)</f>
        <v>0.7</v>
      </c>
      <c r="G78" s="6">
        <f>VLOOKUP(RawData[[#This Row],[W Team]],OWP_Calc[],2,0)</f>
        <v>0.54</v>
      </c>
      <c r="H78" s="6">
        <f>VLOOKUP(RawData[[#This Row],[L Team]],OWP_Calc[],2,0)</f>
        <v>0.57000000000000006</v>
      </c>
    </row>
    <row r="79" spans="1:8" x14ac:dyDescent="0.2">
      <c r="A79" s="15" t="s">
        <v>39</v>
      </c>
      <c r="B79" s="16">
        <v>156</v>
      </c>
      <c r="C79" s="16" t="s">
        <v>31</v>
      </c>
      <c r="D79" s="39">
        <v>106</v>
      </c>
      <c r="E79" s="6">
        <f>VLOOKUP(RawData[[#This Row],[W Team]],WP_Calc[],4,0)</f>
        <v>0.4</v>
      </c>
      <c r="F79" s="6">
        <f>VLOOKUP(RawData[[#This Row],[L Team]],WP_Calc[],4,0)</f>
        <v>0.5</v>
      </c>
      <c r="G79" s="6">
        <f>VLOOKUP(RawData[[#This Row],[W Team]],OWP_Calc[],2,0)</f>
        <v>0.53</v>
      </c>
      <c r="H79" s="6">
        <f>VLOOKUP(RawData[[#This Row],[L Team]],OWP_Calc[],2,0)</f>
        <v>0.47000000000000003</v>
      </c>
    </row>
    <row r="80" spans="1:8" x14ac:dyDescent="0.2">
      <c r="A80" s="15" t="s">
        <v>28</v>
      </c>
      <c r="B80" s="16">
        <v>142</v>
      </c>
      <c r="C80" s="16" t="s">
        <v>37</v>
      </c>
      <c r="D80" s="25">
        <v>111</v>
      </c>
      <c r="E80" s="6">
        <f>VLOOKUP(RawData[[#This Row],[W Team]],WP_Calc[],4,0)</f>
        <v>0.4</v>
      </c>
      <c r="F80" s="6">
        <f>VLOOKUP(RawData[[#This Row],[L Team]],WP_Calc[],4,0)</f>
        <v>0.1</v>
      </c>
      <c r="G80" s="6">
        <f>VLOOKUP(RawData[[#This Row],[W Team]],OWP_Calc[],2,0)</f>
        <v>0.48</v>
      </c>
      <c r="H80" s="6">
        <f>VLOOKUP(RawData[[#This Row],[L Team]],OWP_Calc[],2,0)</f>
        <v>0.51</v>
      </c>
    </row>
    <row r="81" spans="1:8" x14ac:dyDescent="0.2">
      <c r="A81" s="15" t="s">
        <v>40</v>
      </c>
      <c r="B81" s="16">
        <v>150</v>
      </c>
      <c r="C81" s="16" t="s">
        <v>39</v>
      </c>
      <c r="D81" s="35">
        <v>124</v>
      </c>
      <c r="E81" s="6">
        <f>VLOOKUP(RawData[[#This Row],[W Team]],WP_Calc[],4,0)</f>
        <v>0.8</v>
      </c>
      <c r="F81" s="6">
        <f>VLOOKUP(RawData[[#This Row],[L Team]],WP_Calc[],4,0)</f>
        <v>0.4</v>
      </c>
      <c r="G81" s="6">
        <f>VLOOKUP(RawData[[#This Row],[W Team]],OWP_Calc[],2,0)</f>
        <v>0.43</v>
      </c>
      <c r="H81" s="6">
        <f>VLOOKUP(RawData[[#This Row],[L Team]],OWP_Calc[],2,0)</f>
        <v>0.53</v>
      </c>
    </row>
    <row r="82" spans="1:8" x14ac:dyDescent="0.2">
      <c r="A82" s="15" t="s">
        <v>31</v>
      </c>
      <c r="B82" s="16">
        <v>175</v>
      </c>
      <c r="C82" s="16" t="s">
        <v>32</v>
      </c>
      <c r="D82" s="35">
        <v>137</v>
      </c>
      <c r="E82" s="6">
        <f>VLOOKUP(RawData[[#This Row],[W Team]],WP_Calc[],4,0)</f>
        <v>0.5</v>
      </c>
      <c r="F82" s="6">
        <f>VLOOKUP(RawData[[#This Row],[L Team]],WP_Calc[],4,0)</f>
        <v>0.3</v>
      </c>
      <c r="G82" s="6">
        <f>VLOOKUP(RawData[[#This Row],[W Team]],OWP_Calc[],2,0)</f>
        <v>0.47000000000000003</v>
      </c>
      <c r="H82" s="6">
        <f>VLOOKUP(RawData[[#This Row],[L Team]],OWP_Calc[],2,0)</f>
        <v>0.49000000000000005</v>
      </c>
    </row>
    <row r="83" spans="1:8" x14ac:dyDescent="0.2">
      <c r="A83" s="15" t="s">
        <v>29</v>
      </c>
      <c r="B83" s="16">
        <v>163</v>
      </c>
      <c r="C83" s="16" t="s">
        <v>32</v>
      </c>
      <c r="D83" s="40">
        <v>140</v>
      </c>
      <c r="E83" s="6">
        <f>VLOOKUP(RawData[[#This Row],[W Team]],WP_Calc[],4,0)</f>
        <v>0.5</v>
      </c>
      <c r="F83" s="6">
        <f>VLOOKUP(RawData[[#This Row],[L Team]],WP_Calc[],4,0)</f>
        <v>0.3</v>
      </c>
      <c r="G83" s="6">
        <f>VLOOKUP(RawData[[#This Row],[W Team]],OWP_Calc[],2,0)</f>
        <v>0.53</v>
      </c>
      <c r="H83" s="6">
        <f>VLOOKUP(RawData[[#This Row],[L Team]],OWP_Calc[],2,0)</f>
        <v>0.49000000000000005</v>
      </c>
    </row>
    <row r="84" spans="1:8" x14ac:dyDescent="0.2">
      <c r="A84" s="15" t="s">
        <v>41</v>
      </c>
      <c r="B84" s="16">
        <v>154</v>
      </c>
      <c r="C84" s="16" t="s">
        <v>34</v>
      </c>
      <c r="D84" s="41">
        <v>134</v>
      </c>
      <c r="E84" s="6">
        <f>VLOOKUP(RawData[[#This Row],[W Team]],WP_Calc[],4,0)</f>
        <v>0.4</v>
      </c>
      <c r="F84" s="6">
        <f>VLOOKUP(RawData[[#This Row],[L Team]],WP_Calc[],4,0)</f>
        <v>0.8</v>
      </c>
      <c r="G84" s="6">
        <f>VLOOKUP(RawData[[#This Row],[W Team]],OWP_Calc[],2,0)</f>
        <v>0.54</v>
      </c>
      <c r="H84" s="6">
        <f>VLOOKUP(RawData[[#This Row],[L Team]],OWP_Calc[],2,0)</f>
        <v>0.52999999999999992</v>
      </c>
    </row>
    <row r="85" spans="1:8" x14ac:dyDescent="0.2">
      <c r="A85" s="15" t="s">
        <v>45</v>
      </c>
      <c r="B85" s="16">
        <v>167</v>
      </c>
      <c r="C85" s="16" t="s">
        <v>30</v>
      </c>
      <c r="D85" s="42">
        <v>159</v>
      </c>
      <c r="E85" s="6">
        <f>VLOOKUP(RawData[[#This Row],[W Team]],WP_Calc[],4,0)</f>
        <v>0.4</v>
      </c>
      <c r="F85" s="6">
        <f>VLOOKUP(RawData[[#This Row],[L Team]],WP_Calc[],4,0)</f>
        <v>0.5</v>
      </c>
      <c r="G85" s="6">
        <f>VLOOKUP(RawData[[#This Row],[W Team]],OWP_Calc[],2,0)</f>
        <v>0.47000000000000003</v>
      </c>
      <c r="H85" s="6">
        <f>VLOOKUP(RawData[[#This Row],[L Team]],OWP_Calc[],2,0)</f>
        <v>0.47000000000000003</v>
      </c>
    </row>
    <row r="86" spans="1:8" x14ac:dyDescent="0.2">
      <c r="A86" s="15" t="s">
        <v>35</v>
      </c>
      <c r="B86" s="16">
        <v>174</v>
      </c>
      <c r="C86" s="16" t="s">
        <v>33</v>
      </c>
      <c r="D86" s="43">
        <v>119</v>
      </c>
      <c r="E86" s="6">
        <f>VLOOKUP(RawData[[#This Row],[W Team]],WP_Calc[],4,0)</f>
        <v>0.7</v>
      </c>
      <c r="F86" s="6">
        <f>VLOOKUP(RawData[[#This Row],[L Team]],WP_Calc[],4,0)</f>
        <v>0.3</v>
      </c>
      <c r="G86" s="6">
        <f>VLOOKUP(RawData[[#This Row],[W Team]],OWP_Calc[],2,0)</f>
        <v>0.48</v>
      </c>
      <c r="H86" s="6">
        <f>VLOOKUP(RawData[[#This Row],[L Team]],OWP_Calc[],2,0)</f>
        <v>0.5</v>
      </c>
    </row>
    <row r="87" spans="1:8" x14ac:dyDescent="0.2">
      <c r="A87" s="15" t="s">
        <v>38</v>
      </c>
      <c r="B87" s="16">
        <v>165</v>
      </c>
      <c r="C87" s="16" t="s">
        <v>36</v>
      </c>
      <c r="D87" s="35">
        <v>134</v>
      </c>
      <c r="E87" s="6">
        <f>VLOOKUP(RawData[[#This Row],[W Team]],WP_Calc[],4,0)</f>
        <v>0.4</v>
      </c>
      <c r="F87" s="6">
        <f>VLOOKUP(RawData[[#This Row],[L Team]],WP_Calc[],4,0)</f>
        <v>0.6</v>
      </c>
      <c r="G87" s="6">
        <f>VLOOKUP(RawData[[#This Row],[W Team]],OWP_Calc[],2,0)</f>
        <v>0.45</v>
      </c>
      <c r="H87" s="6">
        <f>VLOOKUP(RawData[[#This Row],[L Team]],OWP_Calc[],2,0)</f>
        <v>0.46999999999999992</v>
      </c>
    </row>
    <row r="88" spans="1:8" x14ac:dyDescent="0.2">
      <c r="A88" s="15" t="s">
        <v>40</v>
      </c>
      <c r="B88" s="16">
        <v>184</v>
      </c>
      <c r="C88" s="16" t="s">
        <v>43</v>
      </c>
      <c r="D88" s="35">
        <v>157</v>
      </c>
      <c r="E88" s="6">
        <f>VLOOKUP(RawData[[#This Row],[W Team]],WP_Calc[],4,0)</f>
        <v>0.8</v>
      </c>
      <c r="F88" s="6">
        <f>VLOOKUP(RawData[[#This Row],[L Team]],WP_Calc[],4,0)</f>
        <v>0.5</v>
      </c>
      <c r="G88" s="6">
        <f>VLOOKUP(RawData[[#This Row],[W Team]],OWP_Calc[],2,0)</f>
        <v>0.43</v>
      </c>
      <c r="H88" s="6">
        <f>VLOOKUP(RawData[[#This Row],[L Team]],OWP_Calc[],2,0)</f>
        <v>0.54</v>
      </c>
    </row>
    <row r="89" spans="1:8" x14ac:dyDescent="0.2">
      <c r="A89" s="15" t="s">
        <v>44</v>
      </c>
      <c r="B89" s="16">
        <v>152</v>
      </c>
      <c r="C89" s="16" t="s">
        <v>28</v>
      </c>
      <c r="D89" s="44">
        <v>146</v>
      </c>
      <c r="E89" s="6">
        <f>VLOOKUP(RawData[[#This Row],[W Team]],WP_Calc[],4,0)</f>
        <v>0.7</v>
      </c>
      <c r="F89" s="6">
        <f>VLOOKUP(RawData[[#This Row],[L Team]],WP_Calc[],4,0)</f>
        <v>0.4</v>
      </c>
      <c r="G89" s="6">
        <f>VLOOKUP(RawData[[#This Row],[W Team]],OWP_Calc[],2,0)</f>
        <v>0.57000000000000006</v>
      </c>
      <c r="H89" s="6">
        <f>VLOOKUP(RawData[[#This Row],[L Team]],OWP_Calc[],2,0)</f>
        <v>0.48</v>
      </c>
    </row>
    <row r="90" spans="1:8" x14ac:dyDescent="0.2">
      <c r="A90" s="15" t="s">
        <v>39</v>
      </c>
      <c r="B90" s="16">
        <v>183</v>
      </c>
      <c r="C90" s="16" t="s">
        <v>42</v>
      </c>
      <c r="D90" s="45">
        <v>157</v>
      </c>
      <c r="E90" s="6">
        <f>VLOOKUP(RawData[[#This Row],[W Team]],WP_Calc[],4,0)</f>
        <v>0.4</v>
      </c>
      <c r="F90" s="6">
        <f>VLOOKUP(RawData[[#This Row],[L Team]],WP_Calc[],4,0)</f>
        <v>0.7</v>
      </c>
      <c r="G90" s="6">
        <f>VLOOKUP(RawData[[#This Row],[W Team]],OWP_Calc[],2,0)</f>
        <v>0.53</v>
      </c>
      <c r="H90" s="6">
        <f>VLOOKUP(RawData[[#This Row],[L Team]],OWP_Calc[],2,0)</f>
        <v>0.54</v>
      </c>
    </row>
    <row r="91" spans="1:8" x14ac:dyDescent="0.2">
      <c r="A91" s="15" t="s">
        <v>31</v>
      </c>
      <c r="B91" s="16">
        <v>184</v>
      </c>
      <c r="C91" s="16" t="s">
        <v>37</v>
      </c>
      <c r="D91" s="31">
        <v>136</v>
      </c>
      <c r="E91" s="6">
        <f>VLOOKUP(RawData[[#This Row],[W Team]],WP_Calc[],4,0)</f>
        <v>0.5</v>
      </c>
      <c r="F91" s="6">
        <f>VLOOKUP(RawData[[#This Row],[L Team]],WP_Calc[],4,0)</f>
        <v>0.1</v>
      </c>
      <c r="G91" s="6">
        <f>VLOOKUP(RawData[[#This Row],[W Team]],OWP_Calc[],2,0)</f>
        <v>0.47000000000000003</v>
      </c>
      <c r="H91" s="6">
        <f>VLOOKUP(RawData[[#This Row],[L Team]],OWP_Calc[],2,0)</f>
        <v>0.51</v>
      </c>
    </row>
    <row r="92" spans="1:8" x14ac:dyDescent="0.2">
      <c r="A92" s="15"/>
      <c r="B92" s="16"/>
      <c r="C92" s="16"/>
      <c r="D92" s="35"/>
      <c r="E92" s="6" t="str">
        <f>VLOOKUP(RawData[[#This Row],[W Team]],WP_Calc[],4,0)</f>
        <v/>
      </c>
      <c r="F92" s="6" t="str">
        <f>VLOOKUP(RawData[[#This Row],[L Team]],WP_Calc[],4,0)</f>
        <v/>
      </c>
      <c r="G92" s="6" t="e">
        <f>VLOOKUP(RawData[[#This Row],[W Team]],OWP_Calc[],2,0)</f>
        <v>#DIV/0!</v>
      </c>
      <c r="H92" s="6" t="e">
        <f>VLOOKUP(RawData[[#This Row],[L Team]],OWP_Calc[],2,0)</f>
        <v>#DIV/0!</v>
      </c>
    </row>
    <row r="93" spans="1:8" x14ac:dyDescent="0.2">
      <c r="A93" s="15"/>
      <c r="B93" s="16"/>
      <c r="C93" s="16"/>
      <c r="D93" s="17"/>
      <c r="E93" s="6" t="str">
        <f>VLOOKUP(RawData[[#This Row],[W Team]],WP_Calc[],4,0)</f>
        <v/>
      </c>
      <c r="F93" s="6" t="str">
        <f>VLOOKUP(RawData[[#This Row],[L Team]],WP_Calc[],4,0)</f>
        <v/>
      </c>
      <c r="G93" s="6" t="e">
        <f>VLOOKUP(RawData[[#This Row],[W Team]],OWP_Calc[],2,0)</f>
        <v>#DIV/0!</v>
      </c>
      <c r="H93" s="6" t="e">
        <f>VLOOKUP(RawData[[#This Row],[L Team]],OWP_Calc[],2,0)</f>
        <v>#DIV/0!</v>
      </c>
    </row>
    <row r="94" spans="1:8" x14ac:dyDescent="0.2">
      <c r="A94" s="15"/>
      <c r="B94" s="16"/>
      <c r="C94" s="16"/>
      <c r="D94" s="29"/>
      <c r="E94" s="6" t="str">
        <f>VLOOKUP(RawData[[#This Row],[W Team]],WP_Calc[],4,0)</f>
        <v/>
      </c>
      <c r="F94" s="6" t="str">
        <f>VLOOKUP(RawData[[#This Row],[L Team]],WP_Calc[],4,0)</f>
        <v/>
      </c>
      <c r="G94" s="6" t="e">
        <f>VLOOKUP(RawData[[#This Row],[W Team]],OWP_Calc[],2,0)</f>
        <v>#DIV/0!</v>
      </c>
      <c r="H94" s="6" t="e">
        <f>VLOOKUP(RawData[[#This Row],[L Team]],OWP_Calc[],2,0)</f>
        <v>#DIV/0!</v>
      </c>
    </row>
    <row r="95" spans="1:8" x14ac:dyDescent="0.2">
      <c r="A95" s="15"/>
      <c r="B95" s="16"/>
      <c r="C95" s="16"/>
      <c r="D95" s="17"/>
      <c r="E95" s="6" t="str">
        <f>VLOOKUP(RawData[[#This Row],[W Team]],WP_Calc[],4,0)</f>
        <v/>
      </c>
      <c r="F95" s="6" t="str">
        <f>VLOOKUP(RawData[[#This Row],[L Team]],WP_Calc[],4,0)</f>
        <v/>
      </c>
      <c r="G95" s="6" t="e">
        <f>VLOOKUP(RawData[[#This Row],[W Team]],OWP_Calc[],2,0)</f>
        <v>#DIV/0!</v>
      </c>
      <c r="H95" s="6" t="e">
        <f>VLOOKUP(RawData[[#This Row],[L Team]],OWP_Calc[],2,0)</f>
        <v>#DIV/0!</v>
      </c>
    </row>
    <row r="96" spans="1:8" x14ac:dyDescent="0.2">
      <c r="A96" s="15"/>
      <c r="B96" s="16"/>
      <c r="C96" s="16"/>
      <c r="D96" s="46"/>
      <c r="E96" s="6" t="str">
        <f>VLOOKUP(RawData[[#This Row],[W Team]],WP_Calc[],4,0)</f>
        <v/>
      </c>
      <c r="F96" s="6" t="str">
        <f>VLOOKUP(RawData[[#This Row],[L Team]],WP_Calc[],4,0)</f>
        <v/>
      </c>
      <c r="G96" s="6" t="e">
        <f>VLOOKUP(RawData[[#This Row],[W Team]],OWP_Calc[],2,0)</f>
        <v>#DIV/0!</v>
      </c>
      <c r="H96" s="6" t="e">
        <f>VLOOKUP(RawData[[#This Row],[L Team]],OWP_Calc[],2,0)</f>
        <v>#DIV/0!</v>
      </c>
    </row>
    <row r="97" spans="1:8" x14ac:dyDescent="0.2">
      <c r="A97" s="15"/>
      <c r="B97" s="16"/>
      <c r="C97" s="16"/>
      <c r="D97" s="47"/>
      <c r="E97" s="6" t="str">
        <f>VLOOKUP(RawData[[#This Row],[W Team]],WP_Calc[],4,0)</f>
        <v/>
      </c>
      <c r="F97" s="6" t="str">
        <f>VLOOKUP(RawData[[#This Row],[L Team]],WP_Calc[],4,0)</f>
        <v/>
      </c>
      <c r="G97" s="6" t="e">
        <f>VLOOKUP(RawData[[#This Row],[W Team]],OWP_Calc[],2,0)</f>
        <v>#DIV/0!</v>
      </c>
      <c r="H97" s="6" t="e">
        <f>VLOOKUP(RawData[[#This Row],[L Team]],OWP_Calc[],2,0)</f>
        <v>#DIV/0!</v>
      </c>
    </row>
    <row r="98" spans="1:8" x14ac:dyDescent="0.2">
      <c r="A98" s="15"/>
      <c r="B98" s="16"/>
      <c r="C98" s="16"/>
      <c r="D98" s="48"/>
      <c r="E98" s="6" t="str">
        <f>VLOOKUP(RawData[[#This Row],[W Team]],WP_Calc[],4,0)</f>
        <v/>
      </c>
      <c r="F98" s="6" t="str">
        <f>VLOOKUP(RawData[[#This Row],[L Team]],WP_Calc[],4,0)</f>
        <v/>
      </c>
      <c r="G98" s="6" t="e">
        <f>VLOOKUP(RawData[[#This Row],[W Team]],OWP_Calc[],2,0)</f>
        <v>#DIV/0!</v>
      </c>
      <c r="H98" s="6" t="e">
        <f>VLOOKUP(RawData[[#This Row],[L Team]],OWP_Calc[],2,0)</f>
        <v>#DIV/0!</v>
      </c>
    </row>
    <row r="99" spans="1:8" x14ac:dyDescent="0.2">
      <c r="A99" s="15"/>
      <c r="B99" s="16"/>
      <c r="C99" s="16"/>
      <c r="D99" s="35"/>
      <c r="E99" s="6" t="str">
        <f>VLOOKUP(RawData[[#This Row],[W Team]],WP_Calc[],4,0)</f>
        <v/>
      </c>
      <c r="F99" s="6" t="str">
        <f>VLOOKUP(RawData[[#This Row],[L Team]],WP_Calc[],4,0)</f>
        <v/>
      </c>
      <c r="G99" s="6" t="e">
        <f>VLOOKUP(RawData[[#This Row],[W Team]],OWP_Calc[],2,0)</f>
        <v>#DIV/0!</v>
      </c>
      <c r="H99" s="6" t="e">
        <f>VLOOKUP(RawData[[#This Row],[L Team]],OWP_Calc[],2,0)</f>
        <v>#DIV/0!</v>
      </c>
    </row>
    <row r="100" spans="1:8" x14ac:dyDescent="0.2">
      <c r="A100" s="15"/>
      <c r="B100" s="16"/>
      <c r="C100" s="16"/>
      <c r="D100" s="17"/>
      <c r="E100" s="6" t="str">
        <f>VLOOKUP(RawData[[#This Row],[W Team]],WP_Calc[],4,0)</f>
        <v/>
      </c>
      <c r="F100" s="6" t="str">
        <f>VLOOKUP(RawData[[#This Row],[L Team]],WP_Calc[],4,0)</f>
        <v/>
      </c>
      <c r="G100" s="6" t="e">
        <f>VLOOKUP(RawData[[#This Row],[W Team]],OWP_Calc[],2,0)</f>
        <v>#DIV/0!</v>
      </c>
      <c r="H100" s="6" t="e">
        <f>VLOOKUP(RawData[[#This Row],[L Team]],OWP_Calc[],2,0)</f>
        <v>#DIV/0!</v>
      </c>
    </row>
    <row r="101" spans="1:8" x14ac:dyDescent="0.2">
      <c r="A101" s="15"/>
      <c r="B101" s="16"/>
      <c r="C101" s="16"/>
      <c r="D101" s="30"/>
      <c r="E101" s="6" t="str">
        <f>VLOOKUP(RawData[[#This Row],[W Team]],WP_Calc[],4,0)</f>
        <v/>
      </c>
      <c r="F101" s="6" t="str">
        <f>VLOOKUP(RawData[[#This Row],[L Team]],WP_Calc[],4,0)</f>
        <v/>
      </c>
      <c r="G101" s="6" t="e">
        <f>VLOOKUP(RawData[[#This Row],[W Team]],OWP_Calc[],2,0)</f>
        <v>#DIV/0!</v>
      </c>
      <c r="H101" s="6" t="e">
        <f>VLOOKUP(RawData[[#This Row],[L Team]],OWP_Calc[],2,0)</f>
        <v>#DIV/0!</v>
      </c>
    </row>
    <row r="102" spans="1:8" x14ac:dyDescent="0.2">
      <c r="A102" s="15"/>
      <c r="B102" s="16"/>
      <c r="C102" s="16"/>
      <c r="D102" s="36"/>
      <c r="E102" s="6" t="str">
        <f>VLOOKUP(RawData[[#This Row],[W Team]],WP_Calc[],4,0)</f>
        <v/>
      </c>
      <c r="F102" s="6" t="str">
        <f>VLOOKUP(RawData[[#This Row],[L Team]],WP_Calc[],4,0)</f>
        <v/>
      </c>
      <c r="G102" s="6" t="e">
        <f>VLOOKUP(RawData[[#This Row],[W Team]],OWP_Calc[],2,0)</f>
        <v>#DIV/0!</v>
      </c>
      <c r="H102" s="6" t="e">
        <f>VLOOKUP(RawData[[#This Row],[L Team]],OWP_Calc[],2,0)</f>
        <v>#DIV/0!</v>
      </c>
    </row>
    <row r="103" spans="1:8" x14ac:dyDescent="0.2">
      <c r="A103" s="15"/>
      <c r="B103" s="16"/>
      <c r="C103" s="16"/>
      <c r="D103" s="41"/>
      <c r="E103" s="6" t="str">
        <f>VLOOKUP(RawData[[#This Row],[W Team]],WP_Calc[],4,0)</f>
        <v/>
      </c>
      <c r="F103" s="6" t="str">
        <f>VLOOKUP(RawData[[#This Row],[L Team]],WP_Calc[],4,0)</f>
        <v/>
      </c>
      <c r="G103" s="6" t="e">
        <f>VLOOKUP(RawData[[#This Row],[W Team]],OWP_Calc[],2,0)</f>
        <v>#DIV/0!</v>
      </c>
      <c r="H103" s="6" t="e">
        <f>VLOOKUP(RawData[[#This Row],[L Team]],OWP_Calc[],2,0)</f>
        <v>#DIV/0!</v>
      </c>
    </row>
    <row r="104" spans="1:8" x14ac:dyDescent="0.2">
      <c r="A104" s="15"/>
      <c r="B104" s="16"/>
      <c r="C104" s="16"/>
      <c r="D104" s="44"/>
      <c r="E104" s="6" t="str">
        <f>VLOOKUP(RawData[[#This Row],[W Team]],WP_Calc[],4,0)</f>
        <v/>
      </c>
      <c r="F104" s="6" t="str">
        <f>VLOOKUP(RawData[[#This Row],[L Team]],WP_Calc[],4,0)</f>
        <v/>
      </c>
      <c r="G104" s="6" t="e">
        <f>VLOOKUP(RawData[[#This Row],[W Team]],OWP_Calc[],2,0)</f>
        <v>#DIV/0!</v>
      </c>
      <c r="H104" s="6" t="e">
        <f>VLOOKUP(RawData[[#This Row],[L Team]],OWP_Calc[],2,0)</f>
        <v>#DIV/0!</v>
      </c>
    </row>
    <row r="105" spans="1:8" x14ac:dyDescent="0.2">
      <c r="A105" s="15"/>
      <c r="B105" s="16"/>
      <c r="C105" s="16"/>
      <c r="D105" s="35"/>
      <c r="E105" s="6" t="str">
        <f>VLOOKUP(RawData[[#This Row],[W Team]],WP_Calc[],4,0)</f>
        <v/>
      </c>
      <c r="F105" s="6" t="str">
        <f>VLOOKUP(RawData[[#This Row],[L Team]],WP_Calc[],4,0)</f>
        <v/>
      </c>
      <c r="G105" s="6" t="e">
        <f>VLOOKUP(RawData[[#This Row],[W Team]],OWP_Calc[],2,0)</f>
        <v>#DIV/0!</v>
      </c>
      <c r="H105" s="6" t="e">
        <f>VLOOKUP(RawData[[#This Row],[L Team]],OWP_Calc[],2,0)</f>
        <v>#DIV/0!</v>
      </c>
    </row>
    <row r="106" spans="1:8" x14ac:dyDescent="0.2">
      <c r="A106" s="15"/>
      <c r="B106" s="16"/>
      <c r="C106" s="16"/>
      <c r="D106" s="42"/>
      <c r="E106" s="6" t="str">
        <f>VLOOKUP(RawData[[#This Row],[W Team]],WP_Calc[],4,0)</f>
        <v/>
      </c>
      <c r="F106" s="6" t="str">
        <f>VLOOKUP(RawData[[#This Row],[L Team]],WP_Calc[],4,0)</f>
        <v/>
      </c>
      <c r="G106" s="6" t="e">
        <f>VLOOKUP(RawData[[#This Row],[W Team]],OWP_Calc[],2,0)</f>
        <v>#DIV/0!</v>
      </c>
      <c r="H106" s="6" t="e">
        <f>VLOOKUP(RawData[[#This Row],[L Team]],OWP_Calc[],2,0)</f>
        <v>#DIV/0!</v>
      </c>
    </row>
    <row r="107" spans="1:8" x14ac:dyDescent="0.2">
      <c r="A107" s="15"/>
      <c r="B107" s="16"/>
      <c r="C107" s="16"/>
      <c r="D107" s="35"/>
      <c r="E107" s="6" t="str">
        <f>VLOOKUP(RawData[[#This Row],[W Team]],WP_Calc[],4,0)</f>
        <v/>
      </c>
      <c r="F107" s="6" t="str">
        <f>VLOOKUP(RawData[[#This Row],[L Team]],WP_Calc[],4,0)</f>
        <v/>
      </c>
      <c r="G107" s="6" t="e">
        <f>VLOOKUP(RawData[[#This Row],[W Team]],OWP_Calc[],2,0)</f>
        <v>#DIV/0!</v>
      </c>
      <c r="H107" s="6" t="e">
        <f>VLOOKUP(RawData[[#This Row],[L Team]],OWP_Calc[],2,0)</f>
        <v>#DIV/0!</v>
      </c>
    </row>
    <row r="108" spans="1:8" x14ac:dyDescent="0.2">
      <c r="A108" s="15"/>
      <c r="B108" s="16"/>
      <c r="C108" s="16"/>
      <c r="D108" s="33"/>
      <c r="E108" s="6" t="str">
        <f>VLOOKUP(RawData[[#This Row],[W Team]],WP_Calc[],4,0)</f>
        <v/>
      </c>
      <c r="F108" s="6" t="str">
        <f>VLOOKUP(RawData[[#This Row],[L Team]],WP_Calc[],4,0)</f>
        <v/>
      </c>
      <c r="G108" s="6" t="e">
        <f>VLOOKUP(RawData[[#This Row],[W Team]],OWP_Calc[],2,0)</f>
        <v>#DIV/0!</v>
      </c>
      <c r="H108" s="6" t="e">
        <f>VLOOKUP(RawData[[#This Row],[L Team]],OWP_Calc[],2,0)</f>
        <v>#DIV/0!</v>
      </c>
    </row>
    <row r="109" spans="1:8" x14ac:dyDescent="0.2">
      <c r="A109" s="15"/>
      <c r="B109" s="16"/>
      <c r="C109" s="16"/>
      <c r="D109" s="49"/>
      <c r="E109" s="6" t="str">
        <f>VLOOKUP(RawData[[#This Row],[W Team]],WP_Calc[],4,0)</f>
        <v/>
      </c>
      <c r="F109" s="6" t="str">
        <f>VLOOKUP(RawData[[#This Row],[L Team]],WP_Calc[],4,0)</f>
        <v/>
      </c>
      <c r="G109" s="6" t="e">
        <f>VLOOKUP(RawData[[#This Row],[W Team]],OWP_Calc[],2,0)</f>
        <v>#DIV/0!</v>
      </c>
      <c r="H109" s="6" t="e">
        <f>VLOOKUP(RawData[[#This Row],[L Team]],OWP_Calc[],2,0)</f>
        <v>#DIV/0!</v>
      </c>
    </row>
    <row r="110" spans="1:8" x14ac:dyDescent="0.2">
      <c r="A110" s="15"/>
      <c r="B110" s="16"/>
      <c r="C110" s="16"/>
      <c r="D110" s="35"/>
      <c r="E110" s="6" t="str">
        <f>VLOOKUP(RawData[[#This Row],[W Team]],WP_Calc[],4,0)</f>
        <v/>
      </c>
      <c r="F110" s="6" t="str">
        <f>VLOOKUP(RawData[[#This Row],[L Team]],WP_Calc[],4,0)</f>
        <v/>
      </c>
      <c r="G110" s="6" t="e">
        <f>VLOOKUP(RawData[[#This Row],[W Team]],OWP_Calc[],2,0)</f>
        <v>#DIV/0!</v>
      </c>
      <c r="H110" s="6" t="e">
        <f>VLOOKUP(RawData[[#This Row],[L Team]],OWP_Calc[],2,0)</f>
        <v>#DIV/0!</v>
      </c>
    </row>
    <row r="111" spans="1:8" x14ac:dyDescent="0.2">
      <c r="A111" s="15"/>
      <c r="B111" s="16"/>
      <c r="C111" s="16"/>
      <c r="D111" s="50"/>
      <c r="E111" s="6" t="str">
        <f>VLOOKUP(RawData[[#This Row],[W Team]],WP_Calc[],4,0)</f>
        <v/>
      </c>
      <c r="F111" s="6" t="str">
        <f>VLOOKUP(RawData[[#This Row],[L Team]],WP_Calc[],4,0)</f>
        <v/>
      </c>
      <c r="G111" s="6" t="e">
        <f>VLOOKUP(RawData[[#This Row],[W Team]],OWP_Calc[],2,0)</f>
        <v>#DIV/0!</v>
      </c>
      <c r="H111" s="6" t="e">
        <f>VLOOKUP(RawData[[#This Row],[L Team]],OWP_Calc[],2,0)</f>
        <v>#DIV/0!</v>
      </c>
    </row>
    <row r="112" spans="1:8" x14ac:dyDescent="0.2">
      <c r="A112" s="15"/>
      <c r="B112" s="16"/>
      <c r="C112" s="16"/>
      <c r="D112" s="35"/>
      <c r="E112" s="6" t="str">
        <f>VLOOKUP(RawData[[#This Row],[W Team]],WP_Calc[],4,0)</f>
        <v/>
      </c>
      <c r="F112" s="6" t="str">
        <f>VLOOKUP(RawData[[#This Row],[L Team]],WP_Calc[],4,0)</f>
        <v/>
      </c>
      <c r="G112" s="6" t="e">
        <f>VLOOKUP(RawData[[#This Row],[W Team]],OWP_Calc[],2,0)</f>
        <v>#DIV/0!</v>
      </c>
      <c r="H112" s="6" t="e">
        <f>VLOOKUP(RawData[[#This Row],[L Team]],OWP_Calc[],2,0)</f>
        <v>#DIV/0!</v>
      </c>
    </row>
    <row r="113" spans="1:8" x14ac:dyDescent="0.2">
      <c r="A113" s="15"/>
      <c r="B113" s="16"/>
      <c r="C113" s="16"/>
      <c r="D113" s="33"/>
      <c r="E113" s="6" t="str">
        <f>VLOOKUP(RawData[[#This Row],[W Team]],WP_Calc[],4,0)</f>
        <v/>
      </c>
      <c r="F113" s="6" t="str">
        <f>VLOOKUP(RawData[[#This Row],[L Team]],WP_Calc[],4,0)</f>
        <v/>
      </c>
      <c r="G113" s="6" t="e">
        <f>VLOOKUP(RawData[[#This Row],[W Team]],OWP_Calc[],2,0)</f>
        <v>#DIV/0!</v>
      </c>
      <c r="H113" s="6" t="e">
        <f>VLOOKUP(RawData[[#This Row],[L Team]],OWP_Calc[],2,0)</f>
        <v>#DIV/0!</v>
      </c>
    </row>
    <row r="114" spans="1:8" x14ac:dyDescent="0.2">
      <c r="A114" s="15"/>
      <c r="B114" s="16"/>
      <c r="C114" s="16"/>
      <c r="D114" s="35"/>
      <c r="E114" s="6" t="str">
        <f>VLOOKUP(RawData[[#This Row],[W Team]],WP_Calc[],4,0)</f>
        <v/>
      </c>
      <c r="F114" s="6" t="str">
        <f>VLOOKUP(RawData[[#This Row],[L Team]],WP_Calc[],4,0)</f>
        <v/>
      </c>
      <c r="G114" s="6" t="e">
        <f>VLOOKUP(RawData[[#This Row],[W Team]],OWP_Calc[],2,0)</f>
        <v>#DIV/0!</v>
      </c>
      <c r="H114" s="6" t="e">
        <f>VLOOKUP(RawData[[#This Row],[L Team]],OWP_Calc[],2,0)</f>
        <v>#DIV/0!</v>
      </c>
    </row>
    <row r="115" spans="1:8" x14ac:dyDescent="0.2">
      <c r="A115" s="15"/>
      <c r="B115" s="16"/>
      <c r="C115" s="16"/>
      <c r="D115" s="17"/>
      <c r="E115" s="6" t="str">
        <f>VLOOKUP(RawData[[#This Row],[W Team]],WP_Calc[],4,0)</f>
        <v/>
      </c>
      <c r="F115" s="6" t="str">
        <f>VLOOKUP(RawData[[#This Row],[L Team]],WP_Calc[],4,0)</f>
        <v/>
      </c>
      <c r="G115" s="6" t="e">
        <f>VLOOKUP(RawData[[#This Row],[W Team]],OWP_Calc[],2,0)</f>
        <v>#DIV/0!</v>
      </c>
      <c r="H115" s="6" t="e">
        <f>VLOOKUP(RawData[[#This Row],[L Team]],OWP_Calc[],2,0)</f>
        <v>#DIV/0!</v>
      </c>
    </row>
    <row r="116" spans="1:8" x14ac:dyDescent="0.2">
      <c r="A116" s="15"/>
      <c r="B116" s="16"/>
      <c r="C116" s="16"/>
      <c r="D116" s="35"/>
      <c r="E116" s="6" t="str">
        <f>VLOOKUP(RawData[[#This Row],[W Team]],WP_Calc[],4,0)</f>
        <v/>
      </c>
      <c r="F116" s="6" t="str">
        <f>VLOOKUP(RawData[[#This Row],[L Team]],WP_Calc[],4,0)</f>
        <v/>
      </c>
      <c r="G116" s="6" t="e">
        <f>VLOOKUP(RawData[[#This Row],[W Team]],OWP_Calc[],2,0)</f>
        <v>#DIV/0!</v>
      </c>
      <c r="H116" s="6" t="e">
        <f>VLOOKUP(RawData[[#This Row],[L Team]],OWP_Calc[],2,0)</f>
        <v>#DIV/0!</v>
      </c>
    </row>
    <row r="117" spans="1:8" x14ac:dyDescent="0.2">
      <c r="A117" s="15"/>
      <c r="B117" s="16"/>
      <c r="C117" s="16"/>
      <c r="D117" s="40"/>
      <c r="E117" s="6" t="str">
        <f>VLOOKUP(RawData[[#This Row],[W Team]],WP_Calc[],4,0)</f>
        <v/>
      </c>
      <c r="F117" s="6" t="str">
        <f>VLOOKUP(RawData[[#This Row],[L Team]],WP_Calc[],4,0)</f>
        <v/>
      </c>
      <c r="G117" s="6" t="e">
        <f>VLOOKUP(RawData[[#This Row],[W Team]],OWP_Calc[],2,0)</f>
        <v>#DIV/0!</v>
      </c>
      <c r="H117" s="6" t="e">
        <f>VLOOKUP(RawData[[#This Row],[L Team]],OWP_Calc[],2,0)</f>
        <v>#DIV/0!</v>
      </c>
    </row>
    <row r="118" spans="1:8" x14ac:dyDescent="0.2">
      <c r="A118" s="15"/>
      <c r="B118" s="16"/>
      <c r="C118" s="16"/>
      <c r="D118" s="35"/>
      <c r="E118" s="6" t="str">
        <f>VLOOKUP(RawData[[#This Row],[W Team]],WP_Calc[],4,0)</f>
        <v/>
      </c>
      <c r="F118" s="6" t="str">
        <f>VLOOKUP(RawData[[#This Row],[L Team]],WP_Calc[],4,0)</f>
        <v/>
      </c>
      <c r="G118" s="6" t="e">
        <f>VLOOKUP(RawData[[#This Row],[W Team]],OWP_Calc[],2,0)</f>
        <v>#DIV/0!</v>
      </c>
      <c r="H118" s="6" t="e">
        <f>VLOOKUP(RawData[[#This Row],[L Team]],OWP_Calc[],2,0)</f>
        <v>#DIV/0!</v>
      </c>
    </row>
    <row r="119" spans="1:8" x14ac:dyDescent="0.2">
      <c r="A119" s="15"/>
      <c r="B119" s="16"/>
      <c r="C119" s="16"/>
      <c r="D119" s="47"/>
      <c r="E119" s="6" t="str">
        <f>VLOOKUP(RawData[[#This Row],[W Team]],WP_Calc[],4,0)</f>
        <v/>
      </c>
      <c r="F119" s="6" t="str">
        <f>VLOOKUP(RawData[[#This Row],[L Team]],WP_Calc[],4,0)</f>
        <v/>
      </c>
      <c r="G119" s="6" t="e">
        <f>VLOOKUP(RawData[[#This Row],[W Team]],OWP_Calc[],2,0)</f>
        <v>#DIV/0!</v>
      </c>
      <c r="H119" s="6" t="e">
        <f>VLOOKUP(RawData[[#This Row],[L Team]],OWP_Calc[],2,0)</f>
        <v>#DIV/0!</v>
      </c>
    </row>
    <row r="120" spans="1:8" x14ac:dyDescent="0.2">
      <c r="A120" s="15"/>
      <c r="B120" s="16"/>
      <c r="C120" s="16"/>
      <c r="D120" s="22"/>
      <c r="E120" s="6" t="str">
        <f>VLOOKUP(RawData[[#This Row],[W Team]],WP_Calc[],4,0)</f>
        <v/>
      </c>
      <c r="F120" s="6" t="str">
        <f>VLOOKUP(RawData[[#This Row],[L Team]],WP_Calc[],4,0)</f>
        <v/>
      </c>
      <c r="G120" s="6" t="e">
        <f>VLOOKUP(RawData[[#This Row],[W Team]],OWP_Calc[],2,0)</f>
        <v>#DIV/0!</v>
      </c>
      <c r="H120" s="6" t="e">
        <f>VLOOKUP(RawData[[#This Row],[L Team]],OWP_Calc[],2,0)</f>
        <v>#DIV/0!</v>
      </c>
    </row>
    <row r="121" spans="1:8" x14ac:dyDescent="0.2">
      <c r="A121" s="15"/>
      <c r="B121" s="16"/>
      <c r="C121" s="16"/>
      <c r="D121" s="35"/>
      <c r="E121" s="6" t="str">
        <f>VLOOKUP(RawData[[#This Row],[W Team]],WP_Calc[],4,0)</f>
        <v/>
      </c>
      <c r="F121" s="6" t="str">
        <f>VLOOKUP(RawData[[#This Row],[L Team]],WP_Calc[],4,0)</f>
        <v/>
      </c>
      <c r="G121" s="6" t="e">
        <f>VLOOKUP(RawData[[#This Row],[W Team]],OWP_Calc[],2,0)</f>
        <v>#DIV/0!</v>
      </c>
      <c r="H121" s="6" t="e">
        <f>VLOOKUP(RawData[[#This Row],[L Team]],OWP_Calc[],2,0)</f>
        <v>#DIV/0!</v>
      </c>
    </row>
    <row r="122" spans="1:8" x14ac:dyDescent="0.2">
      <c r="A122" s="15"/>
      <c r="B122" s="16"/>
      <c r="C122" s="16"/>
      <c r="D122" s="35"/>
      <c r="E122" s="6" t="str">
        <f>VLOOKUP(RawData[[#This Row],[W Team]],WP_Calc[],4,0)</f>
        <v/>
      </c>
      <c r="F122" s="6" t="str">
        <f>VLOOKUP(RawData[[#This Row],[L Team]],WP_Calc[],4,0)</f>
        <v/>
      </c>
      <c r="G122" s="6" t="e">
        <f>VLOOKUP(RawData[[#This Row],[W Team]],OWP_Calc[],2,0)</f>
        <v>#DIV/0!</v>
      </c>
      <c r="H122" s="6" t="e">
        <f>VLOOKUP(RawData[[#This Row],[L Team]],OWP_Calc[],2,0)</f>
        <v>#DIV/0!</v>
      </c>
    </row>
    <row r="123" spans="1:8" x14ac:dyDescent="0.2">
      <c r="A123" s="15"/>
      <c r="B123" s="16"/>
      <c r="C123" s="16"/>
      <c r="D123" s="38"/>
      <c r="E123" s="6" t="str">
        <f>VLOOKUP(RawData[[#This Row],[W Team]],WP_Calc[],4,0)</f>
        <v/>
      </c>
      <c r="F123" s="6" t="str">
        <f>VLOOKUP(RawData[[#This Row],[L Team]],WP_Calc[],4,0)</f>
        <v/>
      </c>
      <c r="G123" s="6" t="e">
        <f>VLOOKUP(RawData[[#This Row],[W Team]],OWP_Calc[],2,0)</f>
        <v>#DIV/0!</v>
      </c>
      <c r="H123" s="6" t="e">
        <f>VLOOKUP(RawData[[#This Row],[L Team]],OWP_Calc[],2,0)</f>
        <v>#DIV/0!</v>
      </c>
    </row>
    <row r="124" spans="1:8" x14ac:dyDescent="0.2">
      <c r="A124" s="15"/>
      <c r="B124" s="16"/>
      <c r="C124" s="16"/>
      <c r="D124" s="38"/>
      <c r="E124" s="6" t="str">
        <f>VLOOKUP(RawData[[#This Row],[W Team]],WP_Calc[],4,0)</f>
        <v/>
      </c>
      <c r="F124" s="6" t="str">
        <f>VLOOKUP(RawData[[#This Row],[L Team]],WP_Calc[],4,0)</f>
        <v/>
      </c>
      <c r="G124" s="6" t="e">
        <f>VLOOKUP(RawData[[#This Row],[W Team]],OWP_Calc[],2,0)</f>
        <v>#DIV/0!</v>
      </c>
      <c r="H124" s="6" t="e">
        <f>VLOOKUP(RawData[[#This Row],[L Team]],OWP_Calc[],2,0)</f>
        <v>#DIV/0!</v>
      </c>
    </row>
    <row r="125" spans="1:8" x14ac:dyDescent="0.2">
      <c r="A125" s="15"/>
      <c r="B125" s="16"/>
      <c r="C125" s="16"/>
      <c r="D125" s="35"/>
      <c r="E125" s="6" t="str">
        <f>VLOOKUP(RawData[[#This Row],[W Team]],WP_Calc[],4,0)</f>
        <v/>
      </c>
      <c r="F125" s="6" t="str">
        <f>VLOOKUP(RawData[[#This Row],[L Team]],WP_Calc[],4,0)</f>
        <v/>
      </c>
      <c r="G125" s="6" t="e">
        <f>VLOOKUP(RawData[[#This Row],[W Team]],OWP_Calc[],2,0)</f>
        <v>#DIV/0!</v>
      </c>
      <c r="H125" s="6" t="e">
        <f>VLOOKUP(RawData[[#This Row],[L Team]],OWP_Calc[],2,0)</f>
        <v>#DIV/0!</v>
      </c>
    </row>
    <row r="126" spans="1:8" x14ac:dyDescent="0.2">
      <c r="A126" s="15"/>
      <c r="B126" s="16"/>
      <c r="C126" s="16"/>
      <c r="D126" s="35"/>
      <c r="E126" s="6" t="str">
        <f>VLOOKUP(RawData[[#This Row],[W Team]],WP_Calc[],4,0)</f>
        <v/>
      </c>
      <c r="F126" s="6" t="str">
        <f>VLOOKUP(RawData[[#This Row],[L Team]],WP_Calc[],4,0)</f>
        <v/>
      </c>
      <c r="G126" s="6" t="e">
        <f>VLOOKUP(RawData[[#This Row],[W Team]],OWP_Calc[],2,0)</f>
        <v>#DIV/0!</v>
      </c>
      <c r="H126" s="6" t="e">
        <f>VLOOKUP(RawData[[#This Row],[L Team]],OWP_Calc[],2,0)</f>
        <v>#DIV/0!</v>
      </c>
    </row>
    <row r="127" spans="1:8" x14ac:dyDescent="0.2">
      <c r="A127" s="15"/>
      <c r="B127" s="16"/>
      <c r="C127" s="16"/>
      <c r="D127" s="37"/>
      <c r="E127" s="6" t="str">
        <f>VLOOKUP(RawData[[#This Row],[W Team]],WP_Calc[],4,0)</f>
        <v/>
      </c>
      <c r="F127" s="6" t="str">
        <f>VLOOKUP(RawData[[#This Row],[L Team]],WP_Calc[],4,0)</f>
        <v/>
      </c>
      <c r="G127" s="6" t="e">
        <f>VLOOKUP(RawData[[#This Row],[W Team]],OWP_Calc[],2,0)</f>
        <v>#DIV/0!</v>
      </c>
      <c r="H127" s="6" t="e">
        <f>VLOOKUP(RawData[[#This Row],[L Team]],OWP_Calc[],2,0)</f>
        <v>#DIV/0!</v>
      </c>
    </row>
    <row r="128" spans="1:8" x14ac:dyDescent="0.2">
      <c r="A128" s="15"/>
      <c r="B128" s="16"/>
      <c r="C128" s="16"/>
      <c r="D128" s="51"/>
    </row>
  </sheetData>
  <conditionalFormatting sqref="A129:H1048576 A1:XFD49 I50:XFD1048576 E50:H128">
    <cfRule type="expression" dxfId="40" priority="2">
      <formula>LEN(TRIM(A1))=0</formula>
    </cfRule>
  </conditionalFormatting>
  <conditionalFormatting sqref="D129:D1048576 D1:D49">
    <cfRule type="colorScale" priority="1">
      <colorScale>
        <cfvo type="percentile" val="10"/>
        <cfvo type="percentile" val="75"/>
        <color theme="4" tint="0.39994506668294322"/>
        <color theme="7" tint="0.39994506668294322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292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29.5" bestFit="1" customWidth="1"/>
    <col min="2" max="3" width="8.5" style="6" bestFit="1" customWidth="1"/>
    <col min="4" max="4" width="9.33203125" style="6" bestFit="1" customWidth="1"/>
    <col min="5" max="5" width="16" bestFit="1" customWidth="1"/>
    <col min="6" max="6" width="8.5" style="6" bestFit="1" customWidth="1"/>
  </cols>
  <sheetData>
    <row r="1" spans="1:6" x14ac:dyDescent="0.2">
      <c r="A1" t="s">
        <v>4</v>
      </c>
      <c r="B1" s="6" t="s">
        <v>5</v>
      </c>
      <c r="C1" s="6" t="s">
        <v>6</v>
      </c>
      <c r="D1" s="6" t="s">
        <v>7</v>
      </c>
      <c r="E1" t="s">
        <v>23</v>
      </c>
      <c r="F1" s="6" t="s">
        <v>24</v>
      </c>
    </row>
    <row r="2" spans="1:6" x14ac:dyDescent="0.2">
      <c r="A2" t="str">
        <f>WP_Calc[[#This Row],[Team]]</f>
        <v>(blank)</v>
      </c>
      <c r="B2" s="6" t="str">
        <f>VLOOKUP(Prep[[#This Row],[Team]],WP_Calc[],4,0)</f>
        <v/>
      </c>
      <c r="C2" s="6" t="e">
        <f>VLOOKUP(Prep[[#This Row],[Team]],OWP_Calc[],2,0)</f>
        <v>#DIV/0!</v>
      </c>
      <c r="D2" s="6" t="e">
        <f>VLOOKUP(Prep[[#This Row],[Team]],OOWP_Calc[],2,0)</f>
        <v>#DIV/0!</v>
      </c>
      <c r="E2" s="3">
        <f>VLOOKUP(Prep[[#This Row],[Team]],WP_Calc[],2,0)+VLOOKUP(Prep[[#This Row],[Team]],WP_Calc[],3,0)</f>
        <v>0</v>
      </c>
      <c r="F2" s="6" t="e">
        <f>Prep[[#This Row],[WP]]*0.25+Prep[[#This Row],[OWP]]*0.5+Prep[[#This Row],[OOWP]]*0.25</f>
        <v>#VALUE!</v>
      </c>
    </row>
    <row r="3" spans="1:6" x14ac:dyDescent="0.2">
      <c r="A3" t="str">
        <f>WP_Calc[[#This Row],[Team]]</f>
        <v>West Texas</v>
      </c>
      <c r="B3" s="6">
        <f>VLOOKUP(Prep[[#This Row],[Team]],WP_Calc[],4,0)</f>
        <v>0.4</v>
      </c>
      <c r="C3" s="6">
        <f>VLOOKUP(Prep[[#This Row],[Team]],OWP_Calc[],2,0)</f>
        <v>0.48</v>
      </c>
      <c r="D3" s="6">
        <f>VLOOKUP(Prep[[#This Row],[Team]],OOWP_Calc[],2,0)</f>
        <v>0.48399999999999999</v>
      </c>
      <c r="E3" s="3">
        <f>VLOOKUP(Prep[[#This Row],[Team]],WP_Calc[],2,0)+VLOOKUP(Prep[[#This Row],[Team]],WP_Calc[],3,0)</f>
        <v>10</v>
      </c>
      <c r="F3" s="6">
        <f>Prep[[#This Row],[WP]]*0.25+Prep[[#This Row],[OWP]]*0.5+Prep[[#This Row],[OOWP]]*0.25</f>
        <v>0.46099999999999997</v>
      </c>
    </row>
    <row r="4" spans="1:6" x14ac:dyDescent="0.2">
      <c r="A4" t="str">
        <f>WP_Calc[[#This Row],[Team]]</f>
        <v>Deutschtown</v>
      </c>
      <c r="B4" s="6">
        <f>VLOOKUP(Prep[[#This Row],[Team]],WP_Calc[],4,0)</f>
        <v>0.5</v>
      </c>
      <c r="C4" s="6">
        <f>VLOOKUP(Prep[[#This Row],[Team]],OWP_Calc[],2,0)</f>
        <v>0.47000000000000003</v>
      </c>
      <c r="D4" s="6">
        <f>VLOOKUP(Prep[[#This Row],[Team]],OOWP_Calc[],2,0)</f>
        <v>0.48200000000000004</v>
      </c>
      <c r="E4" s="3">
        <f>VLOOKUP(Prep[[#This Row],[Team]],WP_Calc[],2,0)+VLOOKUP(Prep[[#This Row],[Team]],WP_Calc[],3,0)</f>
        <v>10</v>
      </c>
      <c r="F4" s="6">
        <f>Prep[[#This Row],[WP]]*0.25+Prep[[#This Row],[OWP]]*0.5+Prep[[#This Row],[OOWP]]*0.25</f>
        <v>0.48049999999999998</v>
      </c>
    </row>
    <row r="5" spans="1:6" x14ac:dyDescent="0.2">
      <c r="A5" t="str">
        <f>WP_Calc[[#This Row],[Team]]</f>
        <v>Erie Tech</v>
      </c>
      <c r="B5" s="6">
        <f>VLOOKUP(Prep[[#This Row],[Team]],WP_Calc[],4,0)</f>
        <v>0.3</v>
      </c>
      <c r="C5" s="6">
        <f>VLOOKUP(Prep[[#This Row],[Team]],OWP_Calc[],2,0)</f>
        <v>0.5</v>
      </c>
      <c r="D5" s="6">
        <f>VLOOKUP(Prep[[#This Row],[Team]],OOWP_Calc[],2,0)</f>
        <v>0.503</v>
      </c>
      <c r="E5" s="3">
        <f>VLOOKUP(Prep[[#This Row],[Team]],WP_Calc[],2,0)+VLOOKUP(Prep[[#This Row],[Team]],WP_Calc[],3,0)</f>
        <v>10</v>
      </c>
      <c r="F5" s="6">
        <f>Prep[[#This Row],[WP]]*0.25+Prep[[#This Row],[OWP]]*0.5+Prep[[#This Row],[OOWP]]*0.25</f>
        <v>0.45074999999999998</v>
      </c>
    </row>
    <row r="6" spans="1:6" x14ac:dyDescent="0.2">
      <c r="A6" t="str">
        <f>WP_Calc[[#This Row],[Team]]</f>
        <v>Calvert</v>
      </c>
      <c r="B6" s="6">
        <f>VLOOKUP(Prep[[#This Row],[Team]],WP_Calc[],4,0)</f>
        <v>0.8</v>
      </c>
      <c r="C6" s="6">
        <f>VLOOKUP(Prep[[#This Row],[Team]],OWP_Calc[],2,0)</f>
        <v>0.52999999999999992</v>
      </c>
      <c r="D6" s="6">
        <f>VLOOKUP(Prep[[#This Row],[Team]],OOWP_Calc[],2,0)</f>
        <v>0.5069999999999999</v>
      </c>
      <c r="E6" s="3">
        <f>VLOOKUP(Prep[[#This Row],[Team]],WP_Calc[],2,0)+VLOOKUP(Prep[[#This Row],[Team]],WP_Calc[],3,0)</f>
        <v>10</v>
      </c>
      <c r="F6" s="6">
        <f>Prep[[#This Row],[WP]]*0.25+Prep[[#This Row],[OWP]]*0.5+Prep[[#This Row],[OOWP]]*0.25</f>
        <v>0.59175</v>
      </c>
    </row>
    <row r="7" spans="1:6" x14ac:dyDescent="0.2">
      <c r="A7" t="str">
        <f>WP_Calc[[#This Row],[Team]]</f>
        <v>Irvington</v>
      </c>
      <c r="B7" s="6">
        <f>VLOOKUP(Prep[[#This Row],[Team]],WP_Calc[],4,0)</f>
        <v>0.6</v>
      </c>
      <c r="C7" s="6">
        <f>VLOOKUP(Prep[[#This Row],[Team]],OWP_Calc[],2,0)</f>
        <v>0.46999999999999992</v>
      </c>
      <c r="D7" s="6">
        <f>VLOOKUP(Prep[[#This Row],[Team]],OOWP_Calc[],2,0)</f>
        <v>0.49099999999999994</v>
      </c>
      <c r="E7" s="3">
        <f>VLOOKUP(Prep[[#This Row],[Team]],WP_Calc[],2,0)+VLOOKUP(Prep[[#This Row],[Team]],WP_Calc[],3,0)</f>
        <v>10</v>
      </c>
      <c r="F7" s="6">
        <f>Prep[[#This Row],[WP]]*0.25+Prep[[#This Row],[OWP]]*0.5+Prep[[#This Row],[OOWP]]*0.25</f>
        <v>0.50774999999999992</v>
      </c>
    </row>
    <row r="8" spans="1:6" x14ac:dyDescent="0.2">
      <c r="A8" t="str">
        <f>WP_Calc[[#This Row],[Team]]</f>
        <v>Kentucky Tech</v>
      </c>
      <c r="B8" s="6">
        <f>VLOOKUP(Prep[[#This Row],[Team]],WP_Calc[],4,0)</f>
        <v>0.4</v>
      </c>
      <c r="C8" s="6">
        <f>VLOOKUP(Prep[[#This Row],[Team]],OWP_Calc[],2,0)</f>
        <v>0.45</v>
      </c>
      <c r="D8" s="6">
        <f>VLOOKUP(Prep[[#This Row],[Team]],OOWP_Calc[],2,0)</f>
        <v>0.45999999999999996</v>
      </c>
      <c r="E8" s="3">
        <f>VLOOKUP(Prep[[#This Row],[Team]],WP_Calc[],2,0)+VLOOKUP(Prep[[#This Row],[Team]],WP_Calc[],3,0)</f>
        <v>10</v>
      </c>
      <c r="F8" s="6">
        <f>Prep[[#This Row],[WP]]*0.25+Prep[[#This Row],[OWP]]*0.5+Prep[[#This Row],[OOWP]]*0.25</f>
        <v>0.44</v>
      </c>
    </row>
    <row r="9" spans="1:6" x14ac:dyDescent="0.2">
      <c r="A9" t="str">
        <f>WP_Calc[[#This Row],[Team]]</f>
        <v>Lakeshore</v>
      </c>
      <c r="B9" s="6">
        <f>VLOOKUP(Prep[[#This Row],[Team]],WP_Calc[],4,0)</f>
        <v>0.8</v>
      </c>
      <c r="C9" s="6">
        <f>VLOOKUP(Prep[[#This Row],[Team]],OWP_Calc[],2,0)</f>
        <v>0.43</v>
      </c>
      <c r="D9" s="6">
        <f>VLOOKUP(Prep[[#This Row],[Team]],OOWP_Calc[],2,0)</f>
        <v>0.49400000000000011</v>
      </c>
      <c r="E9" s="3">
        <f>VLOOKUP(Prep[[#This Row],[Team]],WP_Calc[],2,0)+VLOOKUP(Prep[[#This Row],[Team]],WP_Calc[],3,0)</f>
        <v>10</v>
      </c>
      <c r="F9" s="6">
        <f>Prep[[#This Row],[WP]]*0.25+Prep[[#This Row],[OWP]]*0.5+Prep[[#This Row],[OOWP]]*0.25</f>
        <v>0.53850000000000009</v>
      </c>
    </row>
    <row r="10" spans="1:6" x14ac:dyDescent="0.2">
      <c r="A10" t="str">
        <f>WP_Calc[[#This Row],[Team]]</f>
        <v>California A&amp;M</v>
      </c>
      <c r="B10" s="6">
        <f>VLOOKUP(Prep[[#This Row],[Team]],WP_Calc[],4,0)</f>
        <v>0.7</v>
      </c>
      <c r="C10" s="6">
        <f>VLOOKUP(Prep[[#This Row],[Team]],OWP_Calc[],2,0)</f>
        <v>0.54</v>
      </c>
      <c r="D10" s="6">
        <f>VLOOKUP(Prep[[#This Row],[Team]],OOWP_Calc[],2,0)</f>
        <v>0.51700000000000002</v>
      </c>
      <c r="E10" s="3">
        <f>VLOOKUP(Prep[[#This Row],[Team]],WP_Calc[],2,0)+VLOOKUP(Prep[[#This Row],[Team]],WP_Calc[],3,0)</f>
        <v>10</v>
      </c>
      <c r="F10" s="6">
        <f>Prep[[#This Row],[WP]]*0.25+Prep[[#This Row],[OWP]]*0.5+Prep[[#This Row],[OOWP]]*0.25</f>
        <v>0.57425000000000004</v>
      </c>
    </row>
    <row r="11" spans="1:6" x14ac:dyDescent="0.2">
      <c r="A11" t="str">
        <f>WP_Calc[[#This Row],[Team]]</f>
        <v>UC Long Beach</v>
      </c>
      <c r="B11" s="6">
        <f>VLOOKUP(Prep[[#This Row],[Team]],WP_Calc[],4,0)</f>
        <v>0.7</v>
      </c>
      <c r="C11" s="6">
        <f>VLOOKUP(Prep[[#This Row],[Team]],OWP_Calc[],2,0)</f>
        <v>0.57000000000000006</v>
      </c>
      <c r="D11" s="6">
        <f>VLOOKUP(Prep[[#This Row],[Team]],OOWP_Calc[],2,0)</f>
        <v>0.51300000000000001</v>
      </c>
      <c r="E11" s="3">
        <f>VLOOKUP(Prep[[#This Row],[Team]],WP_Calc[],2,0)+VLOOKUP(Prep[[#This Row],[Team]],WP_Calc[],3,0)</f>
        <v>10</v>
      </c>
      <c r="F11" s="6">
        <f>Prep[[#This Row],[WP]]*0.25+Prep[[#This Row],[OWP]]*0.5+Prep[[#This Row],[OOWP]]*0.25</f>
        <v>0.58825000000000005</v>
      </c>
    </row>
    <row r="12" spans="1:6" x14ac:dyDescent="0.2">
      <c r="A12" t="str">
        <f>WP_Calc[[#This Row],[Team]]</f>
        <v>Bloom State</v>
      </c>
      <c r="B12" s="6">
        <f>VLOOKUP(Prep[[#This Row],[Team]],WP_Calc[],4,0)</f>
        <v>0.7</v>
      </c>
      <c r="C12" s="6">
        <f>VLOOKUP(Prep[[#This Row],[Team]],OWP_Calc[],2,0)</f>
        <v>0.48</v>
      </c>
      <c r="D12" s="6">
        <f>VLOOKUP(Prep[[#This Row],[Team]],OOWP_Calc[],2,0)</f>
        <v>0.503</v>
      </c>
      <c r="E12" s="3">
        <f>VLOOKUP(Prep[[#This Row],[Team]],WP_Calc[],2,0)+VLOOKUP(Prep[[#This Row],[Team]],WP_Calc[],3,0)</f>
        <v>10</v>
      </c>
      <c r="F12" s="6">
        <f>Prep[[#This Row],[WP]]*0.25+Prep[[#This Row],[OWP]]*0.5+Prep[[#This Row],[OOWP]]*0.25</f>
        <v>0.54074999999999995</v>
      </c>
    </row>
    <row r="13" spans="1:6" x14ac:dyDescent="0.2">
      <c r="A13" t="str">
        <f>WP_Calc[[#This Row],[Team]]</f>
        <v>Redmond</v>
      </c>
      <c r="B13" s="6">
        <f>VLOOKUP(Prep[[#This Row],[Team]],WP_Calc[],4,0)</f>
        <v>0.5</v>
      </c>
      <c r="C13" s="6">
        <f>VLOOKUP(Prep[[#This Row],[Team]],OWP_Calc[],2,0)</f>
        <v>0.47000000000000003</v>
      </c>
      <c r="D13" s="6">
        <f>VLOOKUP(Prep[[#This Row],[Team]],OOWP_Calc[],2,0)</f>
        <v>0.48100000000000004</v>
      </c>
      <c r="E13" s="3">
        <f>VLOOKUP(Prep[[#This Row],[Team]],WP_Calc[],2,0)+VLOOKUP(Prep[[#This Row],[Team]],WP_Calc[],3,0)</f>
        <v>10</v>
      </c>
      <c r="F13" s="6">
        <f>Prep[[#This Row],[WP]]*0.25+Prep[[#This Row],[OWP]]*0.5+Prep[[#This Row],[OOWP]]*0.25</f>
        <v>0.48025000000000001</v>
      </c>
    </row>
    <row r="14" spans="1:6" x14ac:dyDescent="0.2">
      <c r="A14" t="str">
        <f>WP_Calc[[#This Row],[Team]]</f>
        <v>Dennison State</v>
      </c>
      <c r="B14" s="6">
        <f>VLOOKUP(Prep[[#This Row],[Team]],WP_Calc[],4,0)</f>
        <v>0.5</v>
      </c>
      <c r="C14" s="6">
        <f>VLOOKUP(Prep[[#This Row],[Team]],OWP_Calc[],2,0)</f>
        <v>0.54</v>
      </c>
      <c r="D14" s="6">
        <f>VLOOKUP(Prep[[#This Row],[Team]],OOWP_Calc[],2,0)</f>
        <v>0.51300000000000001</v>
      </c>
      <c r="E14" s="3">
        <f>VLOOKUP(Prep[[#This Row],[Team]],WP_Calc[],2,0)+VLOOKUP(Prep[[#This Row],[Team]],WP_Calc[],3,0)</f>
        <v>10</v>
      </c>
      <c r="F14" s="6">
        <f>Prep[[#This Row],[WP]]*0.25+Prep[[#This Row],[OWP]]*0.5+Prep[[#This Row],[OOWP]]*0.25</f>
        <v>0.52324999999999999</v>
      </c>
    </row>
    <row r="15" spans="1:6" x14ac:dyDescent="0.2">
      <c r="A15" t="str">
        <f>WP_Calc[[#This Row],[Team]]</f>
        <v>Southern Atlantic</v>
      </c>
      <c r="B15" s="6">
        <f>VLOOKUP(Prep[[#This Row],[Team]],WP_Calc[],4,0)</f>
        <v>0.3</v>
      </c>
      <c r="C15" s="6">
        <f>VLOOKUP(Prep[[#This Row],[Team]],OWP_Calc[],2,0)</f>
        <v>0.49000000000000005</v>
      </c>
      <c r="D15" s="6">
        <f>VLOOKUP(Prep[[#This Row],[Team]],OOWP_Calc[],2,0)</f>
        <v>0.48900000000000005</v>
      </c>
      <c r="E15" s="3">
        <f>VLOOKUP(Prep[[#This Row],[Team]],WP_Calc[],2,0)+VLOOKUP(Prep[[#This Row],[Team]],WP_Calc[],3,0)</f>
        <v>10</v>
      </c>
      <c r="F15" s="6">
        <f>Prep[[#This Row],[WP]]*0.25+Prep[[#This Row],[OWP]]*0.5+Prep[[#This Row],[OOWP]]*0.25</f>
        <v>0.44225000000000003</v>
      </c>
    </row>
    <row r="16" spans="1:6" x14ac:dyDescent="0.2">
      <c r="A16" t="str">
        <f>WP_Calc[[#This Row],[Team]]</f>
        <v>UW Lower Columbia</v>
      </c>
      <c r="B16" s="6">
        <f>VLOOKUP(Prep[[#This Row],[Team]],WP_Calc[],4,0)</f>
        <v>0.1</v>
      </c>
      <c r="C16" s="6">
        <f>VLOOKUP(Prep[[#This Row],[Team]],OWP_Calc[],2,0)</f>
        <v>0.51</v>
      </c>
      <c r="D16" s="6">
        <f>VLOOKUP(Prep[[#This Row],[Team]],OOWP_Calc[],2,0)</f>
        <v>0.50399999999999989</v>
      </c>
      <c r="E16" s="3">
        <f>VLOOKUP(Prep[[#This Row],[Team]],WP_Calc[],2,0)+VLOOKUP(Prep[[#This Row],[Team]],WP_Calc[],3,0)</f>
        <v>10</v>
      </c>
      <c r="F16" s="6">
        <f>Prep[[#This Row],[WP]]*0.25+Prep[[#This Row],[OWP]]*0.5+Prep[[#This Row],[OOWP]]*0.25</f>
        <v>0.40600000000000003</v>
      </c>
    </row>
    <row r="17" spans="1:6" x14ac:dyDescent="0.2">
      <c r="A17" t="str">
        <f>WP_Calc[[#This Row],[Team]]</f>
        <v>Continental</v>
      </c>
      <c r="B17" s="6">
        <f>VLOOKUP(Prep[[#This Row],[Team]],WP_Calc[],4,0)</f>
        <v>0.4</v>
      </c>
      <c r="C17" s="6">
        <f>VLOOKUP(Prep[[#This Row],[Team]],OWP_Calc[],2,0)</f>
        <v>0.54</v>
      </c>
      <c r="D17" s="6">
        <f>VLOOKUP(Prep[[#This Row],[Team]],OOWP_Calc[],2,0)</f>
        <v>0.53200000000000003</v>
      </c>
      <c r="E17" s="3">
        <f>VLOOKUP(Prep[[#This Row],[Team]],WP_Calc[],2,0)+VLOOKUP(Prep[[#This Row],[Team]],WP_Calc[],3,0)</f>
        <v>10</v>
      </c>
      <c r="F17" s="6">
        <f>Prep[[#This Row],[WP]]*0.25+Prep[[#This Row],[OWP]]*0.5+Prep[[#This Row],[OOWP]]*0.25</f>
        <v>0.503</v>
      </c>
    </row>
    <row r="18" spans="1:6" x14ac:dyDescent="0.2">
      <c r="A18" t="str">
        <f>WP_Calc[[#This Row],[Team]]</f>
        <v>Golden Isles</v>
      </c>
      <c r="B18" s="6">
        <f>VLOOKUP(Prep[[#This Row],[Team]],WP_Calc[],4,0)</f>
        <v>0.4</v>
      </c>
      <c r="C18" s="6">
        <f>VLOOKUP(Prep[[#This Row],[Team]],OWP_Calc[],2,0)</f>
        <v>0.47000000000000003</v>
      </c>
      <c r="D18" s="6">
        <f>VLOOKUP(Prep[[#This Row],[Team]],OOWP_Calc[],2,0)</f>
        <v>0.47599999999999998</v>
      </c>
      <c r="E18" s="3">
        <f>VLOOKUP(Prep[[#This Row],[Team]],WP_Calc[],2,0)+VLOOKUP(Prep[[#This Row],[Team]],WP_Calc[],3,0)</f>
        <v>10</v>
      </c>
      <c r="F18" s="6">
        <f>Prep[[#This Row],[WP]]*0.25+Prep[[#This Row],[OWP]]*0.5+Prep[[#This Row],[OOWP]]*0.25</f>
        <v>0.45400000000000001</v>
      </c>
    </row>
    <row r="19" spans="1:6" x14ac:dyDescent="0.2">
      <c r="A19" t="str">
        <f>WP_Calc[[#This Row],[Team]]</f>
        <v>Minnesota A&amp;M</v>
      </c>
      <c r="B19" s="6">
        <f>VLOOKUP(Prep[[#This Row],[Team]],WP_Calc[],4,0)</f>
        <v>0.5</v>
      </c>
      <c r="C19" s="6">
        <f>VLOOKUP(Prep[[#This Row],[Team]],OWP_Calc[],2,0)</f>
        <v>0.53</v>
      </c>
      <c r="D19" s="6">
        <f>VLOOKUP(Prep[[#This Row],[Team]],OOWP_Calc[],2,0)</f>
        <v>0.52300000000000002</v>
      </c>
      <c r="E19" s="3">
        <f>VLOOKUP(Prep[[#This Row],[Team]],WP_Calc[],2,0)+VLOOKUP(Prep[[#This Row],[Team]],WP_Calc[],3,0)</f>
        <v>10</v>
      </c>
      <c r="F19" s="6">
        <f>Prep[[#This Row],[WP]]*0.25+Prep[[#This Row],[OWP]]*0.5+Prep[[#This Row],[OOWP]]*0.25</f>
        <v>0.52075000000000005</v>
      </c>
    </row>
    <row r="20" spans="1:6" x14ac:dyDescent="0.2">
      <c r="A20" t="str">
        <f>WP_Calc[[#This Row],[Team]]</f>
        <v>Coastal California</v>
      </c>
      <c r="B20" s="6">
        <f>VLOOKUP(Prep[[#This Row],[Team]],WP_Calc[],4,0)</f>
        <v>0.4</v>
      </c>
      <c r="C20" s="6">
        <f>VLOOKUP(Prep[[#This Row],[Team]],OWP_Calc[],2,0)</f>
        <v>0.53</v>
      </c>
      <c r="D20" s="6">
        <f>VLOOKUP(Prep[[#This Row],[Team]],OOWP_Calc[],2,0)</f>
        <v>0.52000000000000013</v>
      </c>
      <c r="E20" s="3">
        <f>VLOOKUP(Prep[[#This Row],[Team]],WP_Calc[],2,0)+VLOOKUP(Prep[[#This Row],[Team]],WP_Calc[],3,0)</f>
        <v>10</v>
      </c>
      <c r="F20" s="6">
        <f>Prep[[#This Row],[WP]]*0.25+Prep[[#This Row],[OWP]]*0.5+Prep[[#This Row],[OOWP]]*0.25</f>
        <v>0.495</v>
      </c>
    </row>
    <row r="21" spans="1:6" x14ac:dyDescent="0.2">
      <c r="A21">
        <f>WP_Calc[[#This Row],[Team]]</f>
        <v>0</v>
      </c>
      <c r="B21" s="6" t="str">
        <f>VLOOKUP(Prep[[#This Row],[Team]],WP_Calc[],4,0)</f>
        <v/>
      </c>
      <c r="C21" s="6" t="e">
        <f>VLOOKUP(Prep[[#This Row],[Team]],OWP_Calc[],2,0)</f>
        <v>#DIV/0!</v>
      </c>
      <c r="D21" s="6" t="e">
        <f>VLOOKUP(Prep[[#This Row],[Team]],OOWP_Calc[],2,0)</f>
        <v>#N/A</v>
      </c>
      <c r="E21" s="3">
        <f>VLOOKUP(Prep[[#This Row],[Team]],WP_Calc[],2,0)+VLOOKUP(Prep[[#This Row],[Team]],WP_Calc[],3,0)</f>
        <v>0</v>
      </c>
      <c r="F21" s="6" t="e">
        <f>Prep[[#This Row],[WP]]*0.25+Prep[[#This Row],[OWP]]*0.5+Prep[[#This Row],[OOWP]]*0.25</f>
        <v>#VALUE!</v>
      </c>
    </row>
    <row r="22" spans="1:6" x14ac:dyDescent="0.2">
      <c r="A22" t="str">
        <f>WP_Calc[[#This Row],[Team]]</f>
        <v/>
      </c>
      <c r="B22" s="6" t="str">
        <f>VLOOKUP(Prep[[#This Row],[Team]],WP_Calc[],4,0)</f>
        <v/>
      </c>
      <c r="C22" s="6" t="e">
        <f>VLOOKUP(Prep[[#This Row],[Team]],OWP_Calc[],2,0)</f>
        <v>#DIV/0!</v>
      </c>
      <c r="D22" s="6" t="e">
        <f>VLOOKUP(Prep[[#This Row],[Team]],OOWP_Calc[],2,0)</f>
        <v>#DIV/0!</v>
      </c>
      <c r="E22" s="3">
        <f>VLOOKUP(Prep[[#This Row],[Team]],WP_Calc[],2,0)+VLOOKUP(Prep[[#This Row],[Team]],WP_Calc[],3,0)</f>
        <v>0</v>
      </c>
      <c r="F22" s="6" t="e">
        <f>Prep[[#This Row],[WP]]*0.25+Prep[[#This Row],[OWP]]*0.5+Prep[[#This Row],[OOWP]]*0.25</f>
        <v>#VALUE!</v>
      </c>
    </row>
    <row r="23" spans="1:6" x14ac:dyDescent="0.2">
      <c r="A23" t="str">
        <f>WP_Calc[[#This Row],[Team]]</f>
        <v/>
      </c>
      <c r="B23" s="6" t="str">
        <f>VLOOKUP(Prep[[#This Row],[Team]],WP_Calc[],4,0)</f>
        <v/>
      </c>
      <c r="C23" s="6" t="e">
        <f>VLOOKUP(Prep[[#This Row],[Team]],OWP_Calc[],2,0)</f>
        <v>#DIV/0!</v>
      </c>
      <c r="D23" s="6" t="e">
        <f>VLOOKUP(Prep[[#This Row],[Team]],OOWP_Calc[],2,0)</f>
        <v>#DIV/0!</v>
      </c>
      <c r="E23" s="3">
        <f>VLOOKUP(Prep[[#This Row],[Team]],WP_Calc[],2,0)+VLOOKUP(Prep[[#This Row],[Team]],WP_Calc[],3,0)</f>
        <v>0</v>
      </c>
      <c r="F23" s="6" t="e">
        <f>Prep[[#This Row],[WP]]*0.25+Prep[[#This Row],[OWP]]*0.5+Prep[[#This Row],[OOWP]]*0.25</f>
        <v>#VALUE!</v>
      </c>
    </row>
    <row r="24" spans="1:6" x14ac:dyDescent="0.2">
      <c r="A24" t="str">
        <f>WP_Calc[[#This Row],[Team]]</f>
        <v/>
      </c>
      <c r="B24" s="6" t="str">
        <f>VLOOKUP(Prep[[#This Row],[Team]],WP_Calc[],4,0)</f>
        <v/>
      </c>
      <c r="C24" s="6" t="e">
        <f>VLOOKUP(Prep[[#This Row],[Team]],OWP_Calc[],2,0)</f>
        <v>#DIV/0!</v>
      </c>
      <c r="D24" s="6" t="e">
        <f>VLOOKUP(Prep[[#This Row],[Team]],OOWP_Calc[],2,0)</f>
        <v>#DIV/0!</v>
      </c>
      <c r="E24" s="3">
        <f>VLOOKUP(Prep[[#This Row],[Team]],WP_Calc[],2,0)+VLOOKUP(Prep[[#This Row],[Team]],WP_Calc[],3,0)</f>
        <v>0</v>
      </c>
      <c r="F24" s="6" t="e">
        <f>Prep[[#This Row],[WP]]*0.25+Prep[[#This Row],[OWP]]*0.5+Prep[[#This Row],[OOWP]]*0.25</f>
        <v>#VALUE!</v>
      </c>
    </row>
    <row r="25" spans="1:6" x14ac:dyDescent="0.2">
      <c r="A25" t="str">
        <f>WP_Calc[[#This Row],[Team]]</f>
        <v/>
      </c>
      <c r="B25" s="6" t="str">
        <f>VLOOKUP(Prep[[#This Row],[Team]],WP_Calc[],4,0)</f>
        <v/>
      </c>
      <c r="C25" s="6" t="e">
        <f>VLOOKUP(Prep[[#This Row],[Team]],OWP_Calc[],2,0)</f>
        <v>#DIV/0!</v>
      </c>
      <c r="D25" s="6" t="e">
        <f>VLOOKUP(Prep[[#This Row],[Team]],OOWP_Calc[],2,0)</f>
        <v>#DIV/0!</v>
      </c>
      <c r="E25" s="3">
        <f>VLOOKUP(Prep[[#This Row],[Team]],WP_Calc[],2,0)+VLOOKUP(Prep[[#This Row],[Team]],WP_Calc[],3,0)</f>
        <v>0</v>
      </c>
      <c r="F25" s="6" t="e">
        <f>Prep[[#This Row],[WP]]*0.25+Prep[[#This Row],[OWP]]*0.5+Prep[[#This Row],[OOWP]]*0.25</f>
        <v>#VALUE!</v>
      </c>
    </row>
    <row r="26" spans="1:6" x14ac:dyDescent="0.2">
      <c r="A26" t="str">
        <f>WP_Calc[[#This Row],[Team]]</f>
        <v/>
      </c>
      <c r="B26" s="6" t="str">
        <f>VLOOKUP(Prep[[#This Row],[Team]],WP_Calc[],4,0)</f>
        <v/>
      </c>
      <c r="C26" s="6" t="e">
        <f>VLOOKUP(Prep[[#This Row],[Team]],OWP_Calc[],2,0)</f>
        <v>#DIV/0!</v>
      </c>
      <c r="D26" s="6" t="e">
        <f>VLOOKUP(Prep[[#This Row],[Team]],OOWP_Calc[],2,0)</f>
        <v>#DIV/0!</v>
      </c>
      <c r="E26" s="3">
        <f>VLOOKUP(Prep[[#This Row],[Team]],WP_Calc[],2,0)+VLOOKUP(Prep[[#This Row],[Team]],WP_Calc[],3,0)</f>
        <v>0</v>
      </c>
      <c r="F26" s="6" t="e">
        <f>Prep[[#This Row],[WP]]*0.25+Prep[[#This Row],[OWP]]*0.5+Prep[[#This Row],[OOWP]]*0.25</f>
        <v>#VALUE!</v>
      </c>
    </row>
    <row r="27" spans="1:6" x14ac:dyDescent="0.2">
      <c r="A27" t="str">
        <f>WP_Calc[[#This Row],[Team]]</f>
        <v/>
      </c>
      <c r="B27" s="6" t="str">
        <f>VLOOKUP(Prep[[#This Row],[Team]],WP_Calc[],4,0)</f>
        <v/>
      </c>
      <c r="C27" s="6" t="e">
        <f>VLOOKUP(Prep[[#This Row],[Team]],OWP_Calc[],2,0)</f>
        <v>#DIV/0!</v>
      </c>
      <c r="D27" s="6" t="e">
        <f>VLOOKUP(Prep[[#This Row],[Team]],OOWP_Calc[],2,0)</f>
        <v>#DIV/0!</v>
      </c>
      <c r="E27" s="3">
        <f>VLOOKUP(Prep[[#This Row],[Team]],WP_Calc[],2,0)+VLOOKUP(Prep[[#This Row],[Team]],WP_Calc[],3,0)</f>
        <v>0</v>
      </c>
      <c r="F27" s="6" t="e">
        <f>Prep[[#This Row],[WP]]*0.25+Prep[[#This Row],[OWP]]*0.5+Prep[[#This Row],[OOWP]]*0.25</f>
        <v>#VALUE!</v>
      </c>
    </row>
    <row r="28" spans="1:6" x14ac:dyDescent="0.2">
      <c r="A28" t="str">
        <f>WP_Calc[[#This Row],[Team]]</f>
        <v/>
      </c>
      <c r="B28" s="6" t="str">
        <f>VLOOKUP(Prep[[#This Row],[Team]],WP_Calc[],4,0)</f>
        <v/>
      </c>
      <c r="C28" s="6" t="e">
        <f>VLOOKUP(Prep[[#This Row],[Team]],OWP_Calc[],2,0)</f>
        <v>#DIV/0!</v>
      </c>
      <c r="D28" s="6" t="e">
        <f>VLOOKUP(Prep[[#This Row],[Team]],OOWP_Calc[],2,0)</f>
        <v>#DIV/0!</v>
      </c>
      <c r="E28" s="3">
        <f>VLOOKUP(Prep[[#This Row],[Team]],WP_Calc[],2,0)+VLOOKUP(Prep[[#This Row],[Team]],WP_Calc[],3,0)</f>
        <v>0</v>
      </c>
      <c r="F28" s="6" t="e">
        <f>Prep[[#This Row],[WP]]*0.25+Prep[[#This Row],[OWP]]*0.5+Prep[[#This Row],[OOWP]]*0.25</f>
        <v>#VALUE!</v>
      </c>
    </row>
    <row r="29" spans="1:6" x14ac:dyDescent="0.2">
      <c r="A29" t="str">
        <f>WP_Calc[[#This Row],[Team]]</f>
        <v/>
      </c>
      <c r="B29" s="6" t="str">
        <f>VLOOKUP(Prep[[#This Row],[Team]],WP_Calc[],4,0)</f>
        <v/>
      </c>
      <c r="C29" s="6" t="e">
        <f>VLOOKUP(Prep[[#This Row],[Team]],OWP_Calc[],2,0)</f>
        <v>#DIV/0!</v>
      </c>
      <c r="D29" s="6" t="e">
        <f>VLOOKUP(Prep[[#This Row],[Team]],OOWP_Calc[],2,0)</f>
        <v>#DIV/0!</v>
      </c>
      <c r="E29" s="3">
        <f>VLOOKUP(Prep[[#This Row],[Team]],WP_Calc[],2,0)+VLOOKUP(Prep[[#This Row],[Team]],WP_Calc[],3,0)</f>
        <v>0</v>
      </c>
      <c r="F29" s="6" t="e">
        <f>Prep[[#This Row],[WP]]*0.25+Prep[[#This Row],[OWP]]*0.5+Prep[[#This Row],[OOWP]]*0.25</f>
        <v>#VALUE!</v>
      </c>
    </row>
    <row r="30" spans="1:6" x14ac:dyDescent="0.2">
      <c r="A30" t="str">
        <f>WP_Calc[[#This Row],[Team]]</f>
        <v/>
      </c>
      <c r="B30" s="6" t="str">
        <f>VLOOKUP(Prep[[#This Row],[Team]],WP_Calc[],4,0)</f>
        <v/>
      </c>
      <c r="C30" s="6" t="e">
        <f>VLOOKUP(Prep[[#This Row],[Team]],OWP_Calc[],2,0)</f>
        <v>#DIV/0!</v>
      </c>
      <c r="D30" s="6" t="e">
        <f>VLOOKUP(Prep[[#This Row],[Team]],OOWP_Calc[],2,0)</f>
        <v>#DIV/0!</v>
      </c>
      <c r="E30" s="3">
        <f>VLOOKUP(Prep[[#This Row],[Team]],WP_Calc[],2,0)+VLOOKUP(Prep[[#This Row],[Team]],WP_Calc[],3,0)</f>
        <v>0</v>
      </c>
      <c r="F30" s="6" t="e">
        <f>Prep[[#This Row],[WP]]*0.25+Prep[[#This Row],[OWP]]*0.5+Prep[[#This Row],[OOWP]]*0.25</f>
        <v>#VALUE!</v>
      </c>
    </row>
    <row r="31" spans="1:6" x14ac:dyDescent="0.2">
      <c r="A31" t="str">
        <f>WP_Calc[[#This Row],[Team]]</f>
        <v/>
      </c>
      <c r="B31" s="6" t="str">
        <f>VLOOKUP(Prep[[#This Row],[Team]],WP_Calc[],4,0)</f>
        <v/>
      </c>
      <c r="C31" s="6" t="e">
        <f>VLOOKUP(Prep[[#This Row],[Team]],OWP_Calc[],2,0)</f>
        <v>#DIV/0!</v>
      </c>
      <c r="D31" s="6" t="e">
        <f>VLOOKUP(Prep[[#This Row],[Team]],OOWP_Calc[],2,0)</f>
        <v>#DIV/0!</v>
      </c>
      <c r="E31" s="3">
        <f>VLOOKUP(Prep[[#This Row],[Team]],WP_Calc[],2,0)+VLOOKUP(Prep[[#This Row],[Team]],WP_Calc[],3,0)</f>
        <v>0</v>
      </c>
      <c r="F31" s="6" t="e">
        <f>Prep[[#This Row],[WP]]*0.25+Prep[[#This Row],[OWP]]*0.5+Prep[[#This Row],[OOWP]]*0.25</f>
        <v>#VALUE!</v>
      </c>
    </row>
    <row r="32" spans="1:6" x14ac:dyDescent="0.2">
      <c r="A32" t="str">
        <f>WP_Calc[[#This Row],[Team]]</f>
        <v/>
      </c>
      <c r="B32" s="6" t="str">
        <f>VLOOKUP(Prep[[#This Row],[Team]],WP_Calc[],4,0)</f>
        <v/>
      </c>
      <c r="C32" s="6" t="e">
        <f>VLOOKUP(Prep[[#This Row],[Team]],OWP_Calc[],2,0)</f>
        <v>#DIV/0!</v>
      </c>
      <c r="D32" s="6" t="e">
        <f>VLOOKUP(Prep[[#This Row],[Team]],OOWP_Calc[],2,0)</f>
        <v>#DIV/0!</v>
      </c>
      <c r="E32" s="3">
        <f>VLOOKUP(Prep[[#This Row],[Team]],WP_Calc[],2,0)+VLOOKUP(Prep[[#This Row],[Team]],WP_Calc[],3,0)</f>
        <v>0</v>
      </c>
      <c r="F32" s="6" t="e">
        <f>Prep[[#This Row],[WP]]*0.25+Prep[[#This Row],[OWP]]*0.5+Prep[[#This Row],[OOWP]]*0.25</f>
        <v>#VALUE!</v>
      </c>
    </row>
    <row r="33" spans="1:6" x14ac:dyDescent="0.2">
      <c r="A33" t="str">
        <f>WP_Calc[[#This Row],[Team]]</f>
        <v/>
      </c>
      <c r="B33" s="6" t="str">
        <f>VLOOKUP(Prep[[#This Row],[Team]],WP_Calc[],4,0)</f>
        <v/>
      </c>
      <c r="C33" s="6" t="e">
        <f>VLOOKUP(Prep[[#This Row],[Team]],OWP_Calc[],2,0)</f>
        <v>#DIV/0!</v>
      </c>
      <c r="D33" s="6" t="e">
        <f>VLOOKUP(Prep[[#This Row],[Team]],OOWP_Calc[],2,0)</f>
        <v>#DIV/0!</v>
      </c>
      <c r="E33" s="3">
        <f>VLOOKUP(Prep[[#This Row],[Team]],WP_Calc[],2,0)+VLOOKUP(Prep[[#This Row],[Team]],WP_Calc[],3,0)</f>
        <v>0</v>
      </c>
      <c r="F33" s="6" t="e">
        <f>Prep[[#This Row],[WP]]*0.25+Prep[[#This Row],[OWP]]*0.5+Prep[[#This Row],[OOWP]]*0.25</f>
        <v>#VALUE!</v>
      </c>
    </row>
    <row r="34" spans="1:6" x14ac:dyDescent="0.2">
      <c r="A34" t="str">
        <f>WP_Calc[[#This Row],[Team]]</f>
        <v/>
      </c>
      <c r="B34" s="6" t="str">
        <f>VLOOKUP(Prep[[#This Row],[Team]],WP_Calc[],4,0)</f>
        <v/>
      </c>
      <c r="C34" s="6" t="e">
        <f>VLOOKUP(Prep[[#This Row],[Team]],OWP_Calc[],2,0)</f>
        <v>#DIV/0!</v>
      </c>
      <c r="D34" s="6" t="e">
        <f>VLOOKUP(Prep[[#This Row],[Team]],OOWP_Calc[],2,0)</f>
        <v>#DIV/0!</v>
      </c>
      <c r="E34" s="3">
        <f>VLOOKUP(Prep[[#This Row],[Team]],WP_Calc[],2,0)+VLOOKUP(Prep[[#This Row],[Team]],WP_Calc[],3,0)</f>
        <v>0</v>
      </c>
      <c r="F34" s="6" t="e">
        <f>Prep[[#This Row],[WP]]*0.25+Prep[[#This Row],[OWP]]*0.5+Prep[[#This Row],[OOWP]]*0.25</f>
        <v>#VALUE!</v>
      </c>
    </row>
    <row r="35" spans="1:6" x14ac:dyDescent="0.2">
      <c r="A35" t="str">
        <f>WP_Calc[[#This Row],[Team]]</f>
        <v/>
      </c>
      <c r="B35" s="6" t="str">
        <f>VLOOKUP(Prep[[#This Row],[Team]],WP_Calc[],4,0)</f>
        <v/>
      </c>
      <c r="C35" s="6" t="e">
        <f>VLOOKUP(Prep[[#This Row],[Team]],OWP_Calc[],2,0)</f>
        <v>#DIV/0!</v>
      </c>
      <c r="D35" s="6" t="e">
        <f>VLOOKUP(Prep[[#This Row],[Team]],OOWP_Calc[],2,0)</f>
        <v>#DIV/0!</v>
      </c>
      <c r="E35" s="3">
        <f>VLOOKUP(Prep[[#This Row],[Team]],WP_Calc[],2,0)+VLOOKUP(Prep[[#This Row],[Team]],WP_Calc[],3,0)</f>
        <v>0</v>
      </c>
      <c r="F35" s="6" t="e">
        <f>Prep[[#This Row],[WP]]*0.25+Prep[[#This Row],[OWP]]*0.5+Prep[[#This Row],[OOWP]]*0.25</f>
        <v>#VALUE!</v>
      </c>
    </row>
    <row r="36" spans="1:6" x14ac:dyDescent="0.2">
      <c r="A36" t="str">
        <f>WP_Calc[[#This Row],[Team]]</f>
        <v/>
      </c>
      <c r="B36" s="6" t="str">
        <f>VLOOKUP(Prep[[#This Row],[Team]],WP_Calc[],4,0)</f>
        <v/>
      </c>
      <c r="C36" s="6" t="e">
        <f>VLOOKUP(Prep[[#This Row],[Team]],OWP_Calc[],2,0)</f>
        <v>#DIV/0!</v>
      </c>
      <c r="D36" s="6" t="e">
        <f>VLOOKUP(Prep[[#This Row],[Team]],OOWP_Calc[],2,0)</f>
        <v>#DIV/0!</v>
      </c>
      <c r="E36" s="3">
        <f>VLOOKUP(Prep[[#This Row],[Team]],WP_Calc[],2,0)+VLOOKUP(Prep[[#This Row],[Team]],WP_Calc[],3,0)</f>
        <v>0</v>
      </c>
      <c r="F36" s="6" t="e">
        <f>Prep[[#This Row],[WP]]*0.25+Prep[[#This Row],[OWP]]*0.5+Prep[[#This Row],[OOWP]]*0.25</f>
        <v>#VALUE!</v>
      </c>
    </row>
    <row r="37" spans="1:6" x14ac:dyDescent="0.2">
      <c r="A37" t="str">
        <f>WP_Calc[[#This Row],[Team]]</f>
        <v/>
      </c>
      <c r="B37" s="6" t="str">
        <f>VLOOKUP(Prep[[#This Row],[Team]],WP_Calc[],4,0)</f>
        <v/>
      </c>
      <c r="C37" s="6" t="e">
        <f>VLOOKUP(Prep[[#This Row],[Team]],OWP_Calc[],2,0)</f>
        <v>#DIV/0!</v>
      </c>
      <c r="D37" s="6" t="e">
        <f>VLOOKUP(Prep[[#This Row],[Team]],OOWP_Calc[],2,0)</f>
        <v>#DIV/0!</v>
      </c>
      <c r="E37" s="3">
        <f>VLOOKUP(Prep[[#This Row],[Team]],WP_Calc[],2,0)+VLOOKUP(Prep[[#This Row],[Team]],WP_Calc[],3,0)</f>
        <v>0</v>
      </c>
      <c r="F37" s="6" t="e">
        <f>Prep[[#This Row],[WP]]*0.25+Prep[[#This Row],[OWP]]*0.5+Prep[[#This Row],[OOWP]]*0.25</f>
        <v>#VALUE!</v>
      </c>
    </row>
    <row r="38" spans="1:6" x14ac:dyDescent="0.2">
      <c r="A38" t="str">
        <f>WP_Calc[[#This Row],[Team]]</f>
        <v/>
      </c>
      <c r="B38" s="6" t="str">
        <f>VLOOKUP(Prep[[#This Row],[Team]],WP_Calc[],4,0)</f>
        <v/>
      </c>
      <c r="C38" s="6" t="e">
        <f>VLOOKUP(Prep[[#This Row],[Team]],OWP_Calc[],2,0)</f>
        <v>#DIV/0!</v>
      </c>
      <c r="D38" s="6" t="e">
        <f>VLOOKUP(Prep[[#This Row],[Team]],OOWP_Calc[],2,0)</f>
        <v>#DIV/0!</v>
      </c>
      <c r="E38" s="3">
        <f>VLOOKUP(Prep[[#This Row],[Team]],WP_Calc[],2,0)+VLOOKUP(Prep[[#This Row],[Team]],WP_Calc[],3,0)</f>
        <v>0</v>
      </c>
      <c r="F38" s="6" t="e">
        <f>Prep[[#This Row],[WP]]*0.25+Prep[[#This Row],[OWP]]*0.5+Prep[[#This Row],[OOWP]]*0.25</f>
        <v>#VALUE!</v>
      </c>
    </row>
    <row r="39" spans="1:6" x14ac:dyDescent="0.2">
      <c r="A39" t="str">
        <f>WP_Calc[[#This Row],[Team]]</f>
        <v/>
      </c>
      <c r="B39" s="6" t="str">
        <f>VLOOKUP(Prep[[#This Row],[Team]],WP_Calc[],4,0)</f>
        <v/>
      </c>
      <c r="C39" s="6" t="e">
        <f>VLOOKUP(Prep[[#This Row],[Team]],OWP_Calc[],2,0)</f>
        <v>#DIV/0!</v>
      </c>
      <c r="D39" s="6" t="e">
        <f>VLOOKUP(Prep[[#This Row],[Team]],OOWP_Calc[],2,0)</f>
        <v>#DIV/0!</v>
      </c>
      <c r="E39" s="3">
        <f>VLOOKUP(Prep[[#This Row],[Team]],WP_Calc[],2,0)+VLOOKUP(Prep[[#This Row],[Team]],WP_Calc[],3,0)</f>
        <v>0</v>
      </c>
      <c r="F39" s="6" t="e">
        <f>Prep[[#This Row],[WP]]*0.25+Prep[[#This Row],[OWP]]*0.5+Prep[[#This Row],[OOWP]]*0.25</f>
        <v>#VALUE!</v>
      </c>
    </row>
    <row r="40" spans="1:6" x14ac:dyDescent="0.2">
      <c r="A40" t="str">
        <f>WP_Calc[[#This Row],[Team]]</f>
        <v/>
      </c>
      <c r="B40" s="6" t="str">
        <f>VLOOKUP(Prep[[#This Row],[Team]],WP_Calc[],4,0)</f>
        <v/>
      </c>
      <c r="C40" s="6" t="e">
        <f>VLOOKUP(Prep[[#This Row],[Team]],OWP_Calc[],2,0)</f>
        <v>#DIV/0!</v>
      </c>
      <c r="D40" s="6" t="e">
        <f>VLOOKUP(Prep[[#This Row],[Team]],OOWP_Calc[],2,0)</f>
        <v>#DIV/0!</v>
      </c>
      <c r="E40" s="3">
        <f>VLOOKUP(Prep[[#This Row],[Team]],WP_Calc[],2,0)+VLOOKUP(Prep[[#This Row],[Team]],WP_Calc[],3,0)</f>
        <v>0</v>
      </c>
      <c r="F40" s="6" t="e">
        <f>Prep[[#This Row],[WP]]*0.25+Prep[[#This Row],[OWP]]*0.5+Prep[[#This Row],[OOWP]]*0.25</f>
        <v>#VALUE!</v>
      </c>
    </row>
    <row r="41" spans="1:6" x14ac:dyDescent="0.2">
      <c r="A41" t="str">
        <f>WP_Calc[[#This Row],[Team]]</f>
        <v/>
      </c>
      <c r="B41" s="6" t="str">
        <f>VLOOKUP(Prep[[#This Row],[Team]],WP_Calc[],4,0)</f>
        <v/>
      </c>
      <c r="C41" s="6" t="e">
        <f>VLOOKUP(Prep[[#This Row],[Team]],OWP_Calc[],2,0)</f>
        <v>#DIV/0!</v>
      </c>
      <c r="D41" s="6" t="e">
        <f>VLOOKUP(Prep[[#This Row],[Team]],OOWP_Calc[],2,0)</f>
        <v>#DIV/0!</v>
      </c>
      <c r="E41" s="3">
        <f>VLOOKUP(Prep[[#This Row],[Team]],WP_Calc[],2,0)+VLOOKUP(Prep[[#This Row],[Team]],WP_Calc[],3,0)</f>
        <v>0</v>
      </c>
      <c r="F41" s="6" t="e">
        <f>Prep[[#This Row],[WP]]*0.25+Prep[[#This Row],[OWP]]*0.5+Prep[[#This Row],[OOWP]]*0.25</f>
        <v>#VALUE!</v>
      </c>
    </row>
    <row r="42" spans="1:6" x14ac:dyDescent="0.2">
      <c r="A42" t="str">
        <f>WP_Calc[[#This Row],[Team]]</f>
        <v/>
      </c>
      <c r="B42" s="6" t="str">
        <f>VLOOKUP(Prep[[#This Row],[Team]],WP_Calc[],4,0)</f>
        <v/>
      </c>
      <c r="C42" s="6" t="e">
        <f>VLOOKUP(Prep[[#This Row],[Team]],OWP_Calc[],2,0)</f>
        <v>#DIV/0!</v>
      </c>
      <c r="D42" s="6" t="e">
        <f>VLOOKUP(Prep[[#This Row],[Team]],OOWP_Calc[],2,0)</f>
        <v>#DIV/0!</v>
      </c>
      <c r="E42" s="3">
        <f>VLOOKUP(Prep[[#This Row],[Team]],WP_Calc[],2,0)+VLOOKUP(Prep[[#This Row],[Team]],WP_Calc[],3,0)</f>
        <v>0</v>
      </c>
      <c r="F42" s="6" t="e">
        <f>Prep[[#This Row],[WP]]*0.25+Prep[[#This Row],[OWP]]*0.5+Prep[[#This Row],[OOWP]]*0.25</f>
        <v>#VALUE!</v>
      </c>
    </row>
    <row r="43" spans="1:6" x14ac:dyDescent="0.2">
      <c r="A43" t="str">
        <f>WP_Calc[[#This Row],[Team]]</f>
        <v/>
      </c>
      <c r="B43" s="6" t="str">
        <f>VLOOKUP(Prep[[#This Row],[Team]],WP_Calc[],4,0)</f>
        <v/>
      </c>
      <c r="C43" s="6" t="e">
        <f>VLOOKUP(Prep[[#This Row],[Team]],OWP_Calc[],2,0)</f>
        <v>#DIV/0!</v>
      </c>
      <c r="D43" s="6" t="e">
        <f>VLOOKUP(Prep[[#This Row],[Team]],OOWP_Calc[],2,0)</f>
        <v>#DIV/0!</v>
      </c>
      <c r="E43" s="3">
        <f>VLOOKUP(Prep[[#This Row],[Team]],WP_Calc[],2,0)+VLOOKUP(Prep[[#This Row],[Team]],WP_Calc[],3,0)</f>
        <v>0</v>
      </c>
      <c r="F43" s="6" t="e">
        <f>Prep[[#This Row],[WP]]*0.25+Prep[[#This Row],[OWP]]*0.5+Prep[[#This Row],[OOWP]]*0.25</f>
        <v>#VALUE!</v>
      </c>
    </row>
    <row r="44" spans="1:6" x14ac:dyDescent="0.2">
      <c r="A44" t="str">
        <f>WP_Calc[[#This Row],[Team]]</f>
        <v/>
      </c>
      <c r="B44" s="6" t="str">
        <f>VLOOKUP(Prep[[#This Row],[Team]],WP_Calc[],4,0)</f>
        <v/>
      </c>
      <c r="C44" s="6" t="e">
        <f>VLOOKUP(Prep[[#This Row],[Team]],OWP_Calc[],2,0)</f>
        <v>#DIV/0!</v>
      </c>
      <c r="D44" s="6" t="e">
        <f>VLOOKUP(Prep[[#This Row],[Team]],OOWP_Calc[],2,0)</f>
        <v>#DIV/0!</v>
      </c>
      <c r="E44" s="3">
        <f>VLOOKUP(Prep[[#This Row],[Team]],WP_Calc[],2,0)+VLOOKUP(Prep[[#This Row],[Team]],WP_Calc[],3,0)</f>
        <v>0</v>
      </c>
      <c r="F44" s="6" t="e">
        <f>Prep[[#This Row],[WP]]*0.25+Prep[[#This Row],[OWP]]*0.5+Prep[[#This Row],[OOWP]]*0.25</f>
        <v>#VALUE!</v>
      </c>
    </row>
    <row r="45" spans="1:6" x14ac:dyDescent="0.2">
      <c r="A45" t="str">
        <f>WP_Calc[[#This Row],[Team]]</f>
        <v/>
      </c>
      <c r="B45" s="6" t="str">
        <f>VLOOKUP(Prep[[#This Row],[Team]],WP_Calc[],4,0)</f>
        <v/>
      </c>
      <c r="C45" s="6" t="e">
        <f>VLOOKUP(Prep[[#This Row],[Team]],OWP_Calc[],2,0)</f>
        <v>#DIV/0!</v>
      </c>
      <c r="D45" s="6" t="e">
        <f>VLOOKUP(Prep[[#This Row],[Team]],OOWP_Calc[],2,0)</f>
        <v>#DIV/0!</v>
      </c>
      <c r="E45" s="3">
        <f>VLOOKUP(Prep[[#This Row],[Team]],WP_Calc[],2,0)+VLOOKUP(Prep[[#This Row],[Team]],WP_Calc[],3,0)</f>
        <v>0</v>
      </c>
      <c r="F45" s="6" t="e">
        <f>Prep[[#This Row],[WP]]*0.25+Prep[[#This Row],[OWP]]*0.5+Prep[[#This Row],[OOWP]]*0.25</f>
        <v>#VALUE!</v>
      </c>
    </row>
    <row r="46" spans="1:6" x14ac:dyDescent="0.2">
      <c r="A46" t="str">
        <f>WP_Calc[[#This Row],[Team]]</f>
        <v/>
      </c>
      <c r="B46" s="6" t="str">
        <f>VLOOKUP(Prep[[#This Row],[Team]],WP_Calc[],4,0)</f>
        <v/>
      </c>
      <c r="C46" s="6" t="e">
        <f>VLOOKUP(Prep[[#This Row],[Team]],OWP_Calc[],2,0)</f>
        <v>#DIV/0!</v>
      </c>
      <c r="D46" s="6" t="e">
        <f>VLOOKUP(Prep[[#This Row],[Team]],OOWP_Calc[],2,0)</f>
        <v>#DIV/0!</v>
      </c>
      <c r="E46" s="3">
        <f>VLOOKUP(Prep[[#This Row],[Team]],WP_Calc[],2,0)+VLOOKUP(Prep[[#This Row],[Team]],WP_Calc[],3,0)</f>
        <v>0</v>
      </c>
      <c r="F46" s="6" t="e">
        <f>Prep[[#This Row],[WP]]*0.25+Prep[[#This Row],[OWP]]*0.5+Prep[[#This Row],[OOWP]]*0.25</f>
        <v>#VALUE!</v>
      </c>
    </row>
    <row r="47" spans="1:6" x14ac:dyDescent="0.2">
      <c r="A47" t="str">
        <f>WP_Calc[[#This Row],[Team]]</f>
        <v/>
      </c>
      <c r="B47" s="6" t="str">
        <f>VLOOKUP(Prep[[#This Row],[Team]],WP_Calc[],4,0)</f>
        <v/>
      </c>
      <c r="C47" s="6" t="e">
        <f>VLOOKUP(Prep[[#This Row],[Team]],OWP_Calc[],2,0)</f>
        <v>#DIV/0!</v>
      </c>
      <c r="D47" s="6" t="e">
        <f>VLOOKUP(Prep[[#This Row],[Team]],OOWP_Calc[],2,0)</f>
        <v>#DIV/0!</v>
      </c>
      <c r="E47" s="3">
        <f>VLOOKUP(Prep[[#This Row],[Team]],WP_Calc[],2,0)+VLOOKUP(Prep[[#This Row],[Team]],WP_Calc[],3,0)</f>
        <v>0</v>
      </c>
      <c r="F47" s="6" t="e">
        <f>Prep[[#This Row],[WP]]*0.25+Prep[[#This Row],[OWP]]*0.5+Prep[[#This Row],[OOWP]]*0.25</f>
        <v>#VALUE!</v>
      </c>
    </row>
    <row r="48" spans="1:6" x14ac:dyDescent="0.2">
      <c r="A48" t="str">
        <f>WP_Calc[[#This Row],[Team]]</f>
        <v/>
      </c>
      <c r="B48" s="6" t="str">
        <f>VLOOKUP(Prep[[#This Row],[Team]],WP_Calc[],4,0)</f>
        <v/>
      </c>
      <c r="C48" s="6" t="e">
        <f>VLOOKUP(Prep[[#This Row],[Team]],OWP_Calc[],2,0)</f>
        <v>#DIV/0!</v>
      </c>
      <c r="D48" s="6" t="e">
        <f>VLOOKUP(Prep[[#This Row],[Team]],OOWP_Calc[],2,0)</f>
        <v>#DIV/0!</v>
      </c>
      <c r="E48" s="3">
        <f>VLOOKUP(Prep[[#This Row],[Team]],WP_Calc[],2,0)+VLOOKUP(Prep[[#This Row],[Team]],WP_Calc[],3,0)</f>
        <v>0</v>
      </c>
      <c r="F48" s="6" t="e">
        <f>Prep[[#This Row],[WP]]*0.25+Prep[[#This Row],[OWP]]*0.5+Prep[[#This Row],[OOWP]]*0.25</f>
        <v>#VALUE!</v>
      </c>
    </row>
    <row r="49" spans="1:6" x14ac:dyDescent="0.2">
      <c r="A49" t="str">
        <f>WP_Calc[[#This Row],[Team]]</f>
        <v/>
      </c>
      <c r="B49" s="6" t="str">
        <f>VLOOKUP(Prep[[#This Row],[Team]],WP_Calc[],4,0)</f>
        <v/>
      </c>
      <c r="C49" s="6" t="e">
        <f>VLOOKUP(Prep[[#This Row],[Team]],OWP_Calc[],2,0)</f>
        <v>#DIV/0!</v>
      </c>
      <c r="D49" s="6" t="e">
        <f>VLOOKUP(Prep[[#This Row],[Team]],OOWP_Calc[],2,0)</f>
        <v>#DIV/0!</v>
      </c>
      <c r="E49" s="3">
        <f>VLOOKUP(Prep[[#This Row],[Team]],WP_Calc[],2,0)+VLOOKUP(Prep[[#This Row],[Team]],WP_Calc[],3,0)</f>
        <v>0</v>
      </c>
      <c r="F49" s="6" t="e">
        <f>Prep[[#This Row],[WP]]*0.25+Prep[[#This Row],[OWP]]*0.5+Prep[[#This Row],[OOWP]]*0.25</f>
        <v>#VALUE!</v>
      </c>
    </row>
    <row r="50" spans="1:6" x14ac:dyDescent="0.2">
      <c r="A50" t="str">
        <f>WP_Calc[[#This Row],[Team]]</f>
        <v/>
      </c>
      <c r="B50" s="6" t="str">
        <f>VLOOKUP(Prep[[#This Row],[Team]],WP_Calc[],4,0)</f>
        <v/>
      </c>
      <c r="C50" s="6" t="e">
        <f>VLOOKUP(Prep[[#This Row],[Team]],OWP_Calc[],2,0)</f>
        <v>#DIV/0!</v>
      </c>
      <c r="D50" s="6" t="e">
        <f>VLOOKUP(Prep[[#This Row],[Team]],OOWP_Calc[],2,0)</f>
        <v>#DIV/0!</v>
      </c>
      <c r="E50" s="3">
        <f>VLOOKUP(Prep[[#This Row],[Team]],WP_Calc[],2,0)+VLOOKUP(Prep[[#This Row],[Team]],WP_Calc[],3,0)</f>
        <v>0</v>
      </c>
      <c r="F50" s="6" t="e">
        <f>Prep[[#This Row],[WP]]*0.25+Prep[[#This Row],[OWP]]*0.5+Prep[[#This Row],[OOWP]]*0.25</f>
        <v>#VALUE!</v>
      </c>
    </row>
    <row r="51" spans="1:6" x14ac:dyDescent="0.2">
      <c r="A51" t="str">
        <f>WP_Calc[[#This Row],[Team]]</f>
        <v/>
      </c>
      <c r="B51" s="6" t="str">
        <f>VLOOKUP(Prep[[#This Row],[Team]],WP_Calc[],4,0)</f>
        <v/>
      </c>
      <c r="C51" s="6" t="e">
        <f>VLOOKUP(Prep[[#This Row],[Team]],OWP_Calc[],2,0)</f>
        <v>#DIV/0!</v>
      </c>
      <c r="D51" s="6" t="e">
        <f>VLOOKUP(Prep[[#This Row],[Team]],OOWP_Calc[],2,0)</f>
        <v>#DIV/0!</v>
      </c>
      <c r="E51" s="3">
        <f>VLOOKUP(Prep[[#This Row],[Team]],WP_Calc[],2,0)+VLOOKUP(Prep[[#This Row],[Team]],WP_Calc[],3,0)</f>
        <v>0</v>
      </c>
      <c r="F51" s="6" t="e">
        <f>Prep[[#This Row],[WP]]*0.25+Prep[[#This Row],[OWP]]*0.5+Prep[[#This Row],[OOWP]]*0.25</f>
        <v>#VALUE!</v>
      </c>
    </row>
    <row r="52" spans="1:6" x14ac:dyDescent="0.2">
      <c r="A52" t="str">
        <f>WP_Calc[[#This Row],[Team]]</f>
        <v/>
      </c>
      <c r="B52" s="6" t="str">
        <f>VLOOKUP(Prep[[#This Row],[Team]],WP_Calc[],4,0)</f>
        <v/>
      </c>
      <c r="C52" s="6" t="e">
        <f>VLOOKUP(Prep[[#This Row],[Team]],OWP_Calc[],2,0)</f>
        <v>#DIV/0!</v>
      </c>
      <c r="D52" s="6" t="e">
        <f>VLOOKUP(Prep[[#This Row],[Team]],OOWP_Calc[],2,0)</f>
        <v>#DIV/0!</v>
      </c>
      <c r="E52" s="3">
        <f>VLOOKUP(Prep[[#This Row],[Team]],WP_Calc[],2,0)+VLOOKUP(Prep[[#This Row],[Team]],WP_Calc[],3,0)</f>
        <v>0</v>
      </c>
      <c r="F52" s="6" t="e">
        <f>Prep[[#This Row],[WP]]*0.25+Prep[[#This Row],[OWP]]*0.5+Prep[[#This Row],[OOWP]]*0.25</f>
        <v>#VALUE!</v>
      </c>
    </row>
    <row r="53" spans="1:6" x14ac:dyDescent="0.2">
      <c r="A53" t="str">
        <f>WP_Calc[[#This Row],[Team]]</f>
        <v/>
      </c>
      <c r="B53" s="6" t="str">
        <f>VLOOKUP(Prep[[#This Row],[Team]],WP_Calc[],4,0)</f>
        <v/>
      </c>
      <c r="C53" s="6" t="e">
        <f>VLOOKUP(Prep[[#This Row],[Team]],OWP_Calc[],2,0)</f>
        <v>#DIV/0!</v>
      </c>
      <c r="D53" s="6" t="e">
        <f>VLOOKUP(Prep[[#This Row],[Team]],OOWP_Calc[],2,0)</f>
        <v>#DIV/0!</v>
      </c>
      <c r="E53" s="3">
        <f>VLOOKUP(Prep[[#This Row],[Team]],WP_Calc[],2,0)+VLOOKUP(Prep[[#This Row],[Team]],WP_Calc[],3,0)</f>
        <v>0</v>
      </c>
      <c r="F53" s="6" t="e">
        <f>Prep[[#This Row],[WP]]*0.25+Prep[[#This Row],[OWP]]*0.5+Prep[[#This Row],[OOWP]]*0.25</f>
        <v>#VALUE!</v>
      </c>
    </row>
    <row r="54" spans="1:6" x14ac:dyDescent="0.2">
      <c r="A54" t="str">
        <f>WP_Calc[[#This Row],[Team]]</f>
        <v/>
      </c>
      <c r="B54" s="6" t="str">
        <f>VLOOKUP(Prep[[#This Row],[Team]],WP_Calc[],4,0)</f>
        <v/>
      </c>
      <c r="C54" s="6" t="e">
        <f>VLOOKUP(Prep[[#This Row],[Team]],OWP_Calc[],2,0)</f>
        <v>#DIV/0!</v>
      </c>
      <c r="D54" s="6" t="e">
        <f>VLOOKUP(Prep[[#This Row],[Team]],OOWP_Calc[],2,0)</f>
        <v>#DIV/0!</v>
      </c>
      <c r="E54" s="3">
        <f>VLOOKUP(Prep[[#This Row],[Team]],WP_Calc[],2,0)+VLOOKUP(Prep[[#This Row],[Team]],WP_Calc[],3,0)</f>
        <v>0</v>
      </c>
      <c r="F54" s="6" t="e">
        <f>Prep[[#This Row],[WP]]*0.25+Prep[[#This Row],[OWP]]*0.5+Prep[[#This Row],[OOWP]]*0.25</f>
        <v>#VALUE!</v>
      </c>
    </row>
    <row r="55" spans="1:6" x14ac:dyDescent="0.2">
      <c r="A55" t="str">
        <f>WP_Calc[[#This Row],[Team]]</f>
        <v/>
      </c>
      <c r="B55" s="6" t="str">
        <f>VLOOKUP(Prep[[#This Row],[Team]],WP_Calc[],4,0)</f>
        <v/>
      </c>
      <c r="C55" s="6" t="e">
        <f>VLOOKUP(Prep[[#This Row],[Team]],OWP_Calc[],2,0)</f>
        <v>#DIV/0!</v>
      </c>
      <c r="D55" s="6" t="e">
        <f>VLOOKUP(Prep[[#This Row],[Team]],OOWP_Calc[],2,0)</f>
        <v>#DIV/0!</v>
      </c>
      <c r="E55" s="3">
        <f>VLOOKUP(Prep[[#This Row],[Team]],WP_Calc[],2,0)+VLOOKUP(Prep[[#This Row],[Team]],WP_Calc[],3,0)</f>
        <v>0</v>
      </c>
      <c r="F55" s="6" t="e">
        <f>Prep[[#This Row],[WP]]*0.25+Prep[[#This Row],[OWP]]*0.5+Prep[[#This Row],[OOWP]]*0.25</f>
        <v>#VALUE!</v>
      </c>
    </row>
    <row r="56" spans="1:6" x14ac:dyDescent="0.2">
      <c r="A56" t="str">
        <f>WP_Calc[[#This Row],[Team]]</f>
        <v/>
      </c>
      <c r="B56" s="6" t="str">
        <f>VLOOKUP(Prep[[#This Row],[Team]],WP_Calc[],4,0)</f>
        <v/>
      </c>
      <c r="C56" s="6" t="e">
        <f>VLOOKUP(Prep[[#This Row],[Team]],OWP_Calc[],2,0)</f>
        <v>#DIV/0!</v>
      </c>
      <c r="D56" s="6" t="e">
        <f>VLOOKUP(Prep[[#This Row],[Team]],OOWP_Calc[],2,0)</f>
        <v>#DIV/0!</v>
      </c>
      <c r="E56" s="3">
        <f>VLOOKUP(Prep[[#This Row],[Team]],WP_Calc[],2,0)+VLOOKUP(Prep[[#This Row],[Team]],WP_Calc[],3,0)</f>
        <v>0</v>
      </c>
      <c r="F56" s="6" t="e">
        <f>Prep[[#This Row],[WP]]*0.25+Prep[[#This Row],[OWP]]*0.5+Prep[[#This Row],[OOWP]]*0.25</f>
        <v>#VALUE!</v>
      </c>
    </row>
    <row r="57" spans="1:6" x14ac:dyDescent="0.2">
      <c r="A57" t="str">
        <f>WP_Calc[[#This Row],[Team]]</f>
        <v/>
      </c>
      <c r="B57" s="6" t="str">
        <f>VLOOKUP(Prep[[#This Row],[Team]],WP_Calc[],4,0)</f>
        <v/>
      </c>
      <c r="C57" s="6" t="e">
        <f>VLOOKUP(Prep[[#This Row],[Team]],OWP_Calc[],2,0)</f>
        <v>#DIV/0!</v>
      </c>
      <c r="D57" s="6" t="e">
        <f>VLOOKUP(Prep[[#This Row],[Team]],OOWP_Calc[],2,0)</f>
        <v>#DIV/0!</v>
      </c>
      <c r="E57" s="3">
        <f>VLOOKUP(Prep[[#This Row],[Team]],WP_Calc[],2,0)+VLOOKUP(Prep[[#This Row],[Team]],WP_Calc[],3,0)</f>
        <v>0</v>
      </c>
      <c r="F57" s="6" t="e">
        <f>Prep[[#This Row],[WP]]*0.25+Prep[[#This Row],[OWP]]*0.5+Prep[[#This Row],[OOWP]]*0.25</f>
        <v>#VALUE!</v>
      </c>
    </row>
    <row r="58" spans="1:6" x14ac:dyDescent="0.2">
      <c r="A58" t="str">
        <f>WP_Calc[[#This Row],[Team]]</f>
        <v/>
      </c>
      <c r="B58" s="6" t="str">
        <f>VLOOKUP(Prep[[#This Row],[Team]],WP_Calc[],4,0)</f>
        <v/>
      </c>
      <c r="C58" s="6" t="e">
        <f>VLOOKUP(Prep[[#This Row],[Team]],OWP_Calc[],2,0)</f>
        <v>#DIV/0!</v>
      </c>
      <c r="D58" s="6" t="e">
        <f>VLOOKUP(Prep[[#This Row],[Team]],OOWP_Calc[],2,0)</f>
        <v>#DIV/0!</v>
      </c>
      <c r="E58" s="3">
        <f>VLOOKUP(Prep[[#This Row],[Team]],WP_Calc[],2,0)+VLOOKUP(Prep[[#This Row],[Team]],WP_Calc[],3,0)</f>
        <v>0</v>
      </c>
      <c r="F58" s="6" t="e">
        <f>Prep[[#This Row],[WP]]*0.25+Prep[[#This Row],[OWP]]*0.5+Prep[[#This Row],[OOWP]]*0.25</f>
        <v>#VALUE!</v>
      </c>
    </row>
    <row r="59" spans="1:6" x14ac:dyDescent="0.2">
      <c r="A59" t="str">
        <f>WP_Calc[[#This Row],[Team]]</f>
        <v/>
      </c>
      <c r="B59" s="6" t="str">
        <f>VLOOKUP(Prep[[#This Row],[Team]],WP_Calc[],4,0)</f>
        <v/>
      </c>
      <c r="C59" s="6" t="e">
        <f>VLOOKUP(Prep[[#This Row],[Team]],OWP_Calc[],2,0)</f>
        <v>#DIV/0!</v>
      </c>
      <c r="D59" s="6" t="e">
        <f>VLOOKUP(Prep[[#This Row],[Team]],OOWP_Calc[],2,0)</f>
        <v>#DIV/0!</v>
      </c>
      <c r="E59" s="3">
        <f>VLOOKUP(Prep[[#This Row],[Team]],WP_Calc[],2,0)+VLOOKUP(Prep[[#This Row],[Team]],WP_Calc[],3,0)</f>
        <v>0</v>
      </c>
      <c r="F59" s="6" t="e">
        <f>Prep[[#This Row],[WP]]*0.25+Prep[[#This Row],[OWP]]*0.5+Prep[[#This Row],[OOWP]]*0.25</f>
        <v>#VALUE!</v>
      </c>
    </row>
    <row r="60" spans="1:6" x14ac:dyDescent="0.2">
      <c r="A60" t="str">
        <f>WP_Calc[[#This Row],[Team]]</f>
        <v/>
      </c>
      <c r="B60" s="6" t="str">
        <f>VLOOKUP(Prep[[#This Row],[Team]],WP_Calc[],4,0)</f>
        <v/>
      </c>
      <c r="C60" s="6" t="e">
        <f>VLOOKUP(Prep[[#This Row],[Team]],OWP_Calc[],2,0)</f>
        <v>#DIV/0!</v>
      </c>
      <c r="D60" s="6" t="e">
        <f>VLOOKUP(Prep[[#This Row],[Team]],OOWP_Calc[],2,0)</f>
        <v>#DIV/0!</v>
      </c>
      <c r="E60" s="3">
        <f>VLOOKUP(Prep[[#This Row],[Team]],WP_Calc[],2,0)+VLOOKUP(Prep[[#This Row],[Team]],WP_Calc[],3,0)</f>
        <v>0</v>
      </c>
      <c r="F60" s="6" t="e">
        <f>Prep[[#This Row],[WP]]*0.25+Prep[[#This Row],[OWP]]*0.5+Prep[[#This Row],[OOWP]]*0.25</f>
        <v>#VALUE!</v>
      </c>
    </row>
    <row r="61" spans="1:6" x14ac:dyDescent="0.2">
      <c r="A61" t="str">
        <f>WP_Calc[[#This Row],[Team]]</f>
        <v/>
      </c>
      <c r="B61" s="6" t="str">
        <f>VLOOKUP(Prep[[#This Row],[Team]],WP_Calc[],4,0)</f>
        <v/>
      </c>
      <c r="C61" s="6" t="e">
        <f>VLOOKUP(Prep[[#This Row],[Team]],OWP_Calc[],2,0)</f>
        <v>#DIV/0!</v>
      </c>
      <c r="D61" s="6" t="e">
        <f>VLOOKUP(Prep[[#This Row],[Team]],OOWP_Calc[],2,0)</f>
        <v>#DIV/0!</v>
      </c>
      <c r="E61" s="3">
        <f>VLOOKUP(Prep[[#This Row],[Team]],WP_Calc[],2,0)+VLOOKUP(Prep[[#This Row],[Team]],WP_Calc[],3,0)</f>
        <v>0</v>
      </c>
      <c r="F61" s="6" t="e">
        <f>Prep[[#This Row],[WP]]*0.25+Prep[[#This Row],[OWP]]*0.5+Prep[[#This Row],[OOWP]]*0.25</f>
        <v>#VALUE!</v>
      </c>
    </row>
    <row r="62" spans="1:6" x14ac:dyDescent="0.2">
      <c r="A62" t="str">
        <f>WP_Calc[[#This Row],[Team]]</f>
        <v/>
      </c>
      <c r="B62" s="6" t="str">
        <f>VLOOKUP(Prep[[#This Row],[Team]],WP_Calc[],4,0)</f>
        <v/>
      </c>
      <c r="C62" s="6" t="e">
        <f>VLOOKUP(Prep[[#This Row],[Team]],OWP_Calc[],2,0)</f>
        <v>#DIV/0!</v>
      </c>
      <c r="D62" s="6" t="e">
        <f>VLOOKUP(Prep[[#This Row],[Team]],OOWP_Calc[],2,0)</f>
        <v>#DIV/0!</v>
      </c>
      <c r="E62" s="3">
        <f>VLOOKUP(Prep[[#This Row],[Team]],WP_Calc[],2,0)+VLOOKUP(Prep[[#This Row],[Team]],WP_Calc[],3,0)</f>
        <v>0</v>
      </c>
      <c r="F62" s="6" t="e">
        <f>Prep[[#This Row],[WP]]*0.25+Prep[[#This Row],[OWP]]*0.5+Prep[[#This Row],[OOWP]]*0.25</f>
        <v>#VALUE!</v>
      </c>
    </row>
    <row r="63" spans="1:6" x14ac:dyDescent="0.2">
      <c r="A63" t="str">
        <f>WP_Calc[[#This Row],[Team]]</f>
        <v/>
      </c>
      <c r="B63" s="6" t="str">
        <f>VLOOKUP(Prep[[#This Row],[Team]],WP_Calc[],4,0)</f>
        <v/>
      </c>
      <c r="C63" s="6" t="e">
        <f>VLOOKUP(Prep[[#This Row],[Team]],OWP_Calc[],2,0)</f>
        <v>#DIV/0!</v>
      </c>
      <c r="D63" s="6" t="e">
        <f>VLOOKUP(Prep[[#This Row],[Team]],OOWP_Calc[],2,0)</f>
        <v>#DIV/0!</v>
      </c>
      <c r="E63" s="3">
        <f>VLOOKUP(Prep[[#This Row],[Team]],WP_Calc[],2,0)+VLOOKUP(Prep[[#This Row],[Team]],WP_Calc[],3,0)</f>
        <v>0</v>
      </c>
      <c r="F63" s="6" t="e">
        <f>Prep[[#This Row],[WP]]*0.25+Prep[[#This Row],[OWP]]*0.5+Prep[[#This Row],[OOWP]]*0.25</f>
        <v>#VALUE!</v>
      </c>
    </row>
    <row r="64" spans="1:6" x14ac:dyDescent="0.2">
      <c r="A64" t="str">
        <f>WP_Calc[[#This Row],[Team]]</f>
        <v/>
      </c>
      <c r="B64" s="6" t="str">
        <f>VLOOKUP(Prep[[#This Row],[Team]],WP_Calc[],4,0)</f>
        <v/>
      </c>
      <c r="C64" s="6" t="e">
        <f>VLOOKUP(Prep[[#This Row],[Team]],OWP_Calc[],2,0)</f>
        <v>#DIV/0!</v>
      </c>
      <c r="D64" s="6" t="e">
        <f>VLOOKUP(Prep[[#This Row],[Team]],OOWP_Calc[],2,0)</f>
        <v>#DIV/0!</v>
      </c>
      <c r="E64" s="3">
        <f>VLOOKUP(Prep[[#This Row],[Team]],WP_Calc[],2,0)+VLOOKUP(Prep[[#This Row],[Team]],WP_Calc[],3,0)</f>
        <v>0</v>
      </c>
      <c r="F64" s="6" t="e">
        <f>Prep[[#This Row],[WP]]*0.25+Prep[[#This Row],[OWP]]*0.5+Prep[[#This Row],[OOWP]]*0.25</f>
        <v>#VALUE!</v>
      </c>
    </row>
    <row r="65" spans="1:6" x14ac:dyDescent="0.2">
      <c r="A65" t="str">
        <f>WP_Calc[[#This Row],[Team]]</f>
        <v/>
      </c>
      <c r="B65" s="6" t="str">
        <f>VLOOKUP(Prep[[#This Row],[Team]],WP_Calc[],4,0)</f>
        <v/>
      </c>
      <c r="C65" s="6" t="e">
        <f>VLOOKUP(Prep[[#This Row],[Team]],OWP_Calc[],2,0)</f>
        <v>#DIV/0!</v>
      </c>
      <c r="D65" s="6" t="e">
        <f>VLOOKUP(Prep[[#This Row],[Team]],OOWP_Calc[],2,0)</f>
        <v>#DIV/0!</v>
      </c>
      <c r="E65" s="3">
        <f>VLOOKUP(Prep[[#This Row],[Team]],WP_Calc[],2,0)+VLOOKUP(Prep[[#This Row],[Team]],WP_Calc[],3,0)</f>
        <v>0</v>
      </c>
      <c r="F65" s="6" t="e">
        <f>Prep[[#This Row],[WP]]*0.25+Prep[[#This Row],[OWP]]*0.5+Prep[[#This Row],[OOWP]]*0.25</f>
        <v>#VALUE!</v>
      </c>
    </row>
    <row r="66" spans="1:6" x14ac:dyDescent="0.2">
      <c r="A66" t="str">
        <f>WP_Calc[[#This Row],[Team]]</f>
        <v/>
      </c>
      <c r="B66" s="6" t="str">
        <f>VLOOKUP(Prep[[#This Row],[Team]],WP_Calc[],4,0)</f>
        <v/>
      </c>
      <c r="C66" s="6" t="e">
        <f>VLOOKUP(Prep[[#This Row],[Team]],OWP_Calc[],2,0)</f>
        <v>#DIV/0!</v>
      </c>
      <c r="D66" s="6" t="e">
        <f>VLOOKUP(Prep[[#This Row],[Team]],OOWP_Calc[],2,0)</f>
        <v>#DIV/0!</v>
      </c>
      <c r="E66" s="3">
        <f>VLOOKUP(Prep[[#This Row],[Team]],WP_Calc[],2,0)+VLOOKUP(Prep[[#This Row],[Team]],WP_Calc[],3,0)</f>
        <v>0</v>
      </c>
      <c r="F66" s="6" t="e">
        <f>Prep[[#This Row],[WP]]*0.25+Prep[[#This Row],[OWP]]*0.5+Prep[[#This Row],[OOWP]]*0.25</f>
        <v>#VALUE!</v>
      </c>
    </row>
    <row r="67" spans="1:6" x14ac:dyDescent="0.2">
      <c r="A67" t="str">
        <f>WP_Calc[[#This Row],[Team]]</f>
        <v/>
      </c>
      <c r="B67" s="6" t="str">
        <f>VLOOKUP(Prep[[#This Row],[Team]],WP_Calc[],4,0)</f>
        <v/>
      </c>
      <c r="C67" s="6" t="e">
        <f>VLOOKUP(Prep[[#This Row],[Team]],OWP_Calc[],2,0)</f>
        <v>#DIV/0!</v>
      </c>
      <c r="D67" s="6" t="e">
        <f>VLOOKUP(Prep[[#This Row],[Team]],OOWP_Calc[],2,0)</f>
        <v>#DIV/0!</v>
      </c>
      <c r="E67" s="3">
        <f>VLOOKUP(Prep[[#This Row],[Team]],WP_Calc[],2,0)+VLOOKUP(Prep[[#This Row],[Team]],WP_Calc[],3,0)</f>
        <v>0</v>
      </c>
      <c r="F67" s="6" t="e">
        <f>Prep[[#This Row],[WP]]*0.25+Prep[[#This Row],[OWP]]*0.5+Prep[[#This Row],[OOWP]]*0.25</f>
        <v>#VALUE!</v>
      </c>
    </row>
    <row r="68" spans="1:6" x14ac:dyDescent="0.2">
      <c r="A68" t="str">
        <f>WP_Calc[[#This Row],[Team]]</f>
        <v/>
      </c>
      <c r="B68" s="6" t="str">
        <f>VLOOKUP(Prep[[#This Row],[Team]],WP_Calc[],4,0)</f>
        <v/>
      </c>
      <c r="C68" s="6" t="e">
        <f>VLOOKUP(Prep[[#This Row],[Team]],OWP_Calc[],2,0)</f>
        <v>#DIV/0!</v>
      </c>
      <c r="D68" s="6" t="e">
        <f>VLOOKUP(Prep[[#This Row],[Team]],OOWP_Calc[],2,0)</f>
        <v>#DIV/0!</v>
      </c>
      <c r="E68" s="3">
        <f>VLOOKUP(Prep[[#This Row],[Team]],WP_Calc[],2,0)+VLOOKUP(Prep[[#This Row],[Team]],WP_Calc[],3,0)</f>
        <v>0</v>
      </c>
      <c r="F68" s="6" t="e">
        <f>Prep[[#This Row],[WP]]*0.25+Prep[[#This Row],[OWP]]*0.5+Prep[[#This Row],[OOWP]]*0.25</f>
        <v>#VALUE!</v>
      </c>
    </row>
    <row r="69" spans="1:6" x14ac:dyDescent="0.2">
      <c r="A69" t="str">
        <f>WP_Calc[[#This Row],[Team]]</f>
        <v/>
      </c>
      <c r="B69" s="6" t="str">
        <f>VLOOKUP(Prep[[#This Row],[Team]],WP_Calc[],4,0)</f>
        <v/>
      </c>
      <c r="C69" s="6" t="e">
        <f>VLOOKUP(Prep[[#This Row],[Team]],OWP_Calc[],2,0)</f>
        <v>#DIV/0!</v>
      </c>
      <c r="D69" s="6" t="e">
        <f>VLOOKUP(Prep[[#This Row],[Team]],OOWP_Calc[],2,0)</f>
        <v>#DIV/0!</v>
      </c>
      <c r="E69" s="3">
        <f>VLOOKUP(Prep[[#This Row],[Team]],WP_Calc[],2,0)+VLOOKUP(Prep[[#This Row],[Team]],WP_Calc[],3,0)</f>
        <v>0</v>
      </c>
      <c r="F69" s="6" t="e">
        <f>Prep[[#This Row],[WP]]*0.25+Prep[[#This Row],[OWP]]*0.5+Prep[[#This Row],[OOWP]]*0.25</f>
        <v>#VALUE!</v>
      </c>
    </row>
    <row r="70" spans="1:6" x14ac:dyDescent="0.2">
      <c r="A70" t="str">
        <f>WP_Calc[[#This Row],[Team]]</f>
        <v/>
      </c>
      <c r="B70" s="6" t="str">
        <f>VLOOKUP(Prep[[#This Row],[Team]],WP_Calc[],4,0)</f>
        <v/>
      </c>
      <c r="C70" s="6" t="e">
        <f>VLOOKUP(Prep[[#This Row],[Team]],OWP_Calc[],2,0)</f>
        <v>#DIV/0!</v>
      </c>
      <c r="D70" s="6" t="e">
        <f>VLOOKUP(Prep[[#This Row],[Team]],OOWP_Calc[],2,0)</f>
        <v>#DIV/0!</v>
      </c>
      <c r="E70" s="3">
        <f>VLOOKUP(Prep[[#This Row],[Team]],WP_Calc[],2,0)+VLOOKUP(Prep[[#This Row],[Team]],WP_Calc[],3,0)</f>
        <v>0</v>
      </c>
      <c r="F70" s="6" t="e">
        <f>Prep[[#This Row],[WP]]*0.25+Prep[[#This Row],[OWP]]*0.5+Prep[[#This Row],[OOWP]]*0.25</f>
        <v>#VALUE!</v>
      </c>
    </row>
    <row r="71" spans="1:6" x14ac:dyDescent="0.2">
      <c r="A71" t="str">
        <f>WP_Calc[[#This Row],[Team]]</f>
        <v/>
      </c>
      <c r="B71" s="6" t="str">
        <f>VLOOKUP(Prep[[#This Row],[Team]],WP_Calc[],4,0)</f>
        <v/>
      </c>
      <c r="C71" s="6" t="e">
        <f>VLOOKUP(Prep[[#This Row],[Team]],OWP_Calc[],2,0)</f>
        <v>#DIV/0!</v>
      </c>
      <c r="D71" s="6" t="e">
        <f>VLOOKUP(Prep[[#This Row],[Team]],OOWP_Calc[],2,0)</f>
        <v>#DIV/0!</v>
      </c>
      <c r="E71" s="3">
        <f>VLOOKUP(Prep[[#This Row],[Team]],WP_Calc[],2,0)+VLOOKUP(Prep[[#This Row],[Team]],WP_Calc[],3,0)</f>
        <v>0</v>
      </c>
      <c r="F71" s="6" t="e">
        <f>Prep[[#This Row],[WP]]*0.25+Prep[[#This Row],[OWP]]*0.5+Prep[[#This Row],[OOWP]]*0.25</f>
        <v>#VALUE!</v>
      </c>
    </row>
    <row r="72" spans="1:6" x14ac:dyDescent="0.2">
      <c r="A72" t="str">
        <f>WP_Calc[[#This Row],[Team]]</f>
        <v/>
      </c>
      <c r="B72" s="6" t="str">
        <f>VLOOKUP(Prep[[#This Row],[Team]],WP_Calc[],4,0)</f>
        <v/>
      </c>
      <c r="C72" s="6" t="e">
        <f>VLOOKUP(Prep[[#This Row],[Team]],OWP_Calc[],2,0)</f>
        <v>#DIV/0!</v>
      </c>
      <c r="D72" s="6" t="e">
        <f>VLOOKUP(Prep[[#This Row],[Team]],OOWP_Calc[],2,0)</f>
        <v>#DIV/0!</v>
      </c>
      <c r="E72" s="3">
        <f>VLOOKUP(Prep[[#This Row],[Team]],WP_Calc[],2,0)+VLOOKUP(Prep[[#This Row],[Team]],WP_Calc[],3,0)</f>
        <v>0</v>
      </c>
      <c r="F72" s="6" t="e">
        <f>Prep[[#This Row],[WP]]*0.25+Prep[[#This Row],[OWP]]*0.5+Prep[[#This Row],[OOWP]]*0.25</f>
        <v>#VALUE!</v>
      </c>
    </row>
    <row r="73" spans="1:6" x14ac:dyDescent="0.2">
      <c r="A73" t="str">
        <f>WP_Calc[[#This Row],[Team]]</f>
        <v/>
      </c>
      <c r="B73" s="6" t="str">
        <f>VLOOKUP(Prep[[#This Row],[Team]],WP_Calc[],4,0)</f>
        <v/>
      </c>
      <c r="C73" s="6" t="e">
        <f>VLOOKUP(Prep[[#This Row],[Team]],OWP_Calc[],2,0)</f>
        <v>#DIV/0!</v>
      </c>
      <c r="D73" s="6" t="e">
        <f>VLOOKUP(Prep[[#This Row],[Team]],OOWP_Calc[],2,0)</f>
        <v>#DIV/0!</v>
      </c>
      <c r="E73" s="3">
        <f>VLOOKUP(Prep[[#This Row],[Team]],WP_Calc[],2,0)+VLOOKUP(Prep[[#This Row],[Team]],WP_Calc[],3,0)</f>
        <v>0</v>
      </c>
      <c r="F73" s="6" t="e">
        <f>Prep[[#This Row],[WP]]*0.25+Prep[[#This Row],[OWP]]*0.5+Prep[[#This Row],[OOWP]]*0.25</f>
        <v>#VALUE!</v>
      </c>
    </row>
    <row r="74" spans="1:6" x14ac:dyDescent="0.2">
      <c r="A74" t="str">
        <f>WP_Calc[[#This Row],[Team]]</f>
        <v/>
      </c>
      <c r="B74" s="6" t="str">
        <f>VLOOKUP(Prep[[#This Row],[Team]],WP_Calc[],4,0)</f>
        <v/>
      </c>
      <c r="C74" s="6" t="e">
        <f>VLOOKUP(Prep[[#This Row],[Team]],OWP_Calc[],2,0)</f>
        <v>#DIV/0!</v>
      </c>
      <c r="D74" s="6" t="e">
        <f>VLOOKUP(Prep[[#This Row],[Team]],OOWP_Calc[],2,0)</f>
        <v>#DIV/0!</v>
      </c>
      <c r="E74" s="3">
        <f>VLOOKUP(Prep[[#This Row],[Team]],WP_Calc[],2,0)+VLOOKUP(Prep[[#This Row],[Team]],WP_Calc[],3,0)</f>
        <v>0</v>
      </c>
      <c r="F74" s="6" t="e">
        <f>Prep[[#This Row],[WP]]*0.25+Prep[[#This Row],[OWP]]*0.5+Prep[[#This Row],[OOWP]]*0.25</f>
        <v>#VALUE!</v>
      </c>
    </row>
    <row r="75" spans="1:6" x14ac:dyDescent="0.2">
      <c r="A75" t="str">
        <f>WP_Calc[[#This Row],[Team]]</f>
        <v/>
      </c>
      <c r="B75" s="6" t="str">
        <f>VLOOKUP(Prep[[#This Row],[Team]],WP_Calc[],4,0)</f>
        <v/>
      </c>
      <c r="C75" s="6" t="e">
        <f>VLOOKUP(Prep[[#This Row],[Team]],OWP_Calc[],2,0)</f>
        <v>#DIV/0!</v>
      </c>
      <c r="D75" s="6" t="e">
        <f>VLOOKUP(Prep[[#This Row],[Team]],OOWP_Calc[],2,0)</f>
        <v>#DIV/0!</v>
      </c>
      <c r="E75" s="3">
        <f>VLOOKUP(Prep[[#This Row],[Team]],WP_Calc[],2,0)+VLOOKUP(Prep[[#This Row],[Team]],WP_Calc[],3,0)</f>
        <v>0</v>
      </c>
      <c r="F75" s="6" t="e">
        <f>Prep[[#This Row],[WP]]*0.25+Prep[[#This Row],[OWP]]*0.5+Prep[[#This Row],[OOWP]]*0.25</f>
        <v>#VALUE!</v>
      </c>
    </row>
    <row r="76" spans="1:6" x14ac:dyDescent="0.2">
      <c r="A76" t="str">
        <f>WP_Calc[[#This Row],[Team]]</f>
        <v/>
      </c>
      <c r="B76" s="6" t="str">
        <f>VLOOKUP(Prep[[#This Row],[Team]],WP_Calc[],4,0)</f>
        <v/>
      </c>
      <c r="C76" s="6" t="e">
        <f>VLOOKUP(Prep[[#This Row],[Team]],OWP_Calc[],2,0)</f>
        <v>#DIV/0!</v>
      </c>
      <c r="D76" s="6" t="e">
        <f>VLOOKUP(Prep[[#This Row],[Team]],OOWP_Calc[],2,0)</f>
        <v>#DIV/0!</v>
      </c>
      <c r="E76" s="3">
        <f>VLOOKUP(Prep[[#This Row],[Team]],WP_Calc[],2,0)+VLOOKUP(Prep[[#This Row],[Team]],WP_Calc[],3,0)</f>
        <v>0</v>
      </c>
      <c r="F76" s="6" t="e">
        <f>Prep[[#This Row],[WP]]*0.25+Prep[[#This Row],[OWP]]*0.5+Prep[[#This Row],[OOWP]]*0.25</f>
        <v>#VALUE!</v>
      </c>
    </row>
    <row r="77" spans="1:6" x14ac:dyDescent="0.2">
      <c r="A77" t="str">
        <f>WP_Calc[[#This Row],[Team]]</f>
        <v/>
      </c>
      <c r="B77" s="6" t="str">
        <f>VLOOKUP(Prep[[#This Row],[Team]],WP_Calc[],4,0)</f>
        <v/>
      </c>
      <c r="C77" s="6" t="e">
        <f>VLOOKUP(Prep[[#This Row],[Team]],OWP_Calc[],2,0)</f>
        <v>#DIV/0!</v>
      </c>
      <c r="D77" s="6" t="e">
        <f>VLOOKUP(Prep[[#This Row],[Team]],OOWP_Calc[],2,0)</f>
        <v>#DIV/0!</v>
      </c>
      <c r="E77" s="3">
        <f>VLOOKUP(Prep[[#This Row],[Team]],WP_Calc[],2,0)+VLOOKUP(Prep[[#This Row],[Team]],WP_Calc[],3,0)</f>
        <v>0</v>
      </c>
      <c r="F77" s="6" t="e">
        <f>Prep[[#This Row],[WP]]*0.25+Prep[[#This Row],[OWP]]*0.5+Prep[[#This Row],[OOWP]]*0.25</f>
        <v>#VALUE!</v>
      </c>
    </row>
    <row r="78" spans="1:6" x14ac:dyDescent="0.2">
      <c r="A78" t="str">
        <f>WP_Calc[[#This Row],[Team]]</f>
        <v/>
      </c>
      <c r="B78" s="6" t="str">
        <f>VLOOKUP(Prep[[#This Row],[Team]],WP_Calc[],4,0)</f>
        <v/>
      </c>
      <c r="C78" s="6" t="e">
        <f>VLOOKUP(Prep[[#This Row],[Team]],OWP_Calc[],2,0)</f>
        <v>#DIV/0!</v>
      </c>
      <c r="D78" s="6" t="e">
        <f>VLOOKUP(Prep[[#This Row],[Team]],OOWP_Calc[],2,0)</f>
        <v>#DIV/0!</v>
      </c>
      <c r="E78" s="3">
        <f>VLOOKUP(Prep[[#This Row],[Team]],WP_Calc[],2,0)+VLOOKUP(Prep[[#This Row],[Team]],WP_Calc[],3,0)</f>
        <v>0</v>
      </c>
      <c r="F78" s="6" t="e">
        <f>Prep[[#This Row],[WP]]*0.25+Prep[[#This Row],[OWP]]*0.5+Prep[[#This Row],[OOWP]]*0.25</f>
        <v>#VALUE!</v>
      </c>
    </row>
    <row r="79" spans="1:6" x14ac:dyDescent="0.2">
      <c r="A79" t="str">
        <f>WP_Calc[[#This Row],[Team]]</f>
        <v/>
      </c>
      <c r="B79" s="6" t="str">
        <f>VLOOKUP(Prep[[#This Row],[Team]],WP_Calc[],4,0)</f>
        <v/>
      </c>
      <c r="C79" s="6" t="e">
        <f>VLOOKUP(Prep[[#This Row],[Team]],OWP_Calc[],2,0)</f>
        <v>#DIV/0!</v>
      </c>
      <c r="D79" s="6" t="e">
        <f>VLOOKUP(Prep[[#This Row],[Team]],OOWP_Calc[],2,0)</f>
        <v>#DIV/0!</v>
      </c>
      <c r="E79" s="3">
        <f>VLOOKUP(Prep[[#This Row],[Team]],WP_Calc[],2,0)+VLOOKUP(Prep[[#This Row],[Team]],WP_Calc[],3,0)</f>
        <v>0</v>
      </c>
      <c r="F79" s="6" t="e">
        <f>Prep[[#This Row],[WP]]*0.25+Prep[[#This Row],[OWP]]*0.5+Prep[[#This Row],[OOWP]]*0.25</f>
        <v>#VALUE!</v>
      </c>
    </row>
    <row r="80" spans="1:6" x14ac:dyDescent="0.2">
      <c r="A80" t="str">
        <f>WP_Calc[[#This Row],[Team]]</f>
        <v/>
      </c>
      <c r="B80" s="6" t="str">
        <f>VLOOKUP(Prep[[#This Row],[Team]],WP_Calc[],4,0)</f>
        <v/>
      </c>
      <c r="C80" s="6" t="e">
        <f>VLOOKUP(Prep[[#This Row],[Team]],OWP_Calc[],2,0)</f>
        <v>#DIV/0!</v>
      </c>
      <c r="D80" s="6" t="e">
        <f>VLOOKUP(Prep[[#This Row],[Team]],OOWP_Calc[],2,0)</f>
        <v>#DIV/0!</v>
      </c>
      <c r="E80" s="3">
        <f>VLOOKUP(Prep[[#This Row],[Team]],WP_Calc[],2,0)+VLOOKUP(Prep[[#This Row],[Team]],WP_Calc[],3,0)</f>
        <v>0</v>
      </c>
      <c r="F80" s="6" t="e">
        <f>Prep[[#This Row],[WP]]*0.25+Prep[[#This Row],[OWP]]*0.5+Prep[[#This Row],[OOWP]]*0.25</f>
        <v>#VALUE!</v>
      </c>
    </row>
    <row r="81" spans="1:6" x14ac:dyDescent="0.2">
      <c r="A81" t="str">
        <f>WP_Calc[[#This Row],[Team]]</f>
        <v/>
      </c>
      <c r="B81" s="6" t="str">
        <f>VLOOKUP(Prep[[#This Row],[Team]],WP_Calc[],4,0)</f>
        <v/>
      </c>
      <c r="C81" s="6" t="e">
        <f>VLOOKUP(Prep[[#This Row],[Team]],OWP_Calc[],2,0)</f>
        <v>#DIV/0!</v>
      </c>
      <c r="D81" s="6" t="e">
        <f>VLOOKUP(Prep[[#This Row],[Team]],OOWP_Calc[],2,0)</f>
        <v>#DIV/0!</v>
      </c>
      <c r="E81" s="3">
        <f>VLOOKUP(Prep[[#This Row],[Team]],WP_Calc[],2,0)+VLOOKUP(Prep[[#This Row],[Team]],WP_Calc[],3,0)</f>
        <v>0</v>
      </c>
      <c r="F81" s="6" t="e">
        <f>Prep[[#This Row],[WP]]*0.25+Prep[[#This Row],[OWP]]*0.5+Prep[[#This Row],[OOWP]]*0.25</f>
        <v>#VALUE!</v>
      </c>
    </row>
    <row r="82" spans="1:6" x14ac:dyDescent="0.2">
      <c r="A82" t="str">
        <f>WP_Calc[[#This Row],[Team]]</f>
        <v/>
      </c>
      <c r="B82" s="6" t="str">
        <f>VLOOKUP(Prep[[#This Row],[Team]],WP_Calc[],4,0)</f>
        <v/>
      </c>
      <c r="C82" s="6" t="e">
        <f>VLOOKUP(Prep[[#This Row],[Team]],OWP_Calc[],2,0)</f>
        <v>#DIV/0!</v>
      </c>
      <c r="D82" s="6" t="e">
        <f>VLOOKUP(Prep[[#This Row],[Team]],OOWP_Calc[],2,0)</f>
        <v>#DIV/0!</v>
      </c>
      <c r="E82" s="3">
        <f>VLOOKUP(Prep[[#This Row],[Team]],WP_Calc[],2,0)+VLOOKUP(Prep[[#This Row],[Team]],WP_Calc[],3,0)</f>
        <v>0</v>
      </c>
      <c r="F82" s="6" t="e">
        <f>Prep[[#This Row],[WP]]*0.25+Prep[[#This Row],[OWP]]*0.5+Prep[[#This Row],[OOWP]]*0.25</f>
        <v>#VALUE!</v>
      </c>
    </row>
    <row r="83" spans="1:6" x14ac:dyDescent="0.2">
      <c r="A83" t="str">
        <f>WP_Calc[[#This Row],[Team]]</f>
        <v/>
      </c>
      <c r="B83" s="6" t="str">
        <f>VLOOKUP(Prep[[#This Row],[Team]],WP_Calc[],4,0)</f>
        <v/>
      </c>
      <c r="C83" s="6" t="e">
        <f>VLOOKUP(Prep[[#This Row],[Team]],OWP_Calc[],2,0)</f>
        <v>#DIV/0!</v>
      </c>
      <c r="D83" s="6" t="e">
        <f>VLOOKUP(Prep[[#This Row],[Team]],OOWP_Calc[],2,0)</f>
        <v>#DIV/0!</v>
      </c>
      <c r="E83" s="3">
        <f>VLOOKUP(Prep[[#This Row],[Team]],WP_Calc[],2,0)+VLOOKUP(Prep[[#This Row],[Team]],WP_Calc[],3,0)</f>
        <v>0</v>
      </c>
      <c r="F83" s="6" t="e">
        <f>Prep[[#This Row],[WP]]*0.25+Prep[[#This Row],[OWP]]*0.5+Prep[[#This Row],[OOWP]]*0.25</f>
        <v>#VALUE!</v>
      </c>
    </row>
    <row r="84" spans="1:6" x14ac:dyDescent="0.2">
      <c r="A84" t="str">
        <f>WP_Calc[[#This Row],[Team]]</f>
        <v/>
      </c>
      <c r="B84" s="6" t="str">
        <f>VLOOKUP(Prep[[#This Row],[Team]],WP_Calc[],4,0)</f>
        <v/>
      </c>
      <c r="C84" s="6" t="e">
        <f>VLOOKUP(Prep[[#This Row],[Team]],OWP_Calc[],2,0)</f>
        <v>#DIV/0!</v>
      </c>
      <c r="D84" s="6" t="e">
        <f>VLOOKUP(Prep[[#This Row],[Team]],OOWP_Calc[],2,0)</f>
        <v>#DIV/0!</v>
      </c>
      <c r="E84" s="3">
        <f>VLOOKUP(Prep[[#This Row],[Team]],WP_Calc[],2,0)+VLOOKUP(Prep[[#This Row],[Team]],WP_Calc[],3,0)</f>
        <v>0</v>
      </c>
      <c r="F84" s="6" t="e">
        <f>Prep[[#This Row],[WP]]*0.25+Prep[[#This Row],[OWP]]*0.5+Prep[[#This Row],[OOWP]]*0.25</f>
        <v>#VALUE!</v>
      </c>
    </row>
    <row r="85" spans="1:6" x14ac:dyDescent="0.2">
      <c r="A85" t="str">
        <f>WP_Calc[[#This Row],[Team]]</f>
        <v/>
      </c>
      <c r="B85" s="6" t="str">
        <f>VLOOKUP(Prep[[#This Row],[Team]],WP_Calc[],4,0)</f>
        <v/>
      </c>
      <c r="C85" s="6" t="e">
        <f>VLOOKUP(Prep[[#This Row],[Team]],OWP_Calc[],2,0)</f>
        <v>#DIV/0!</v>
      </c>
      <c r="D85" s="6" t="e">
        <f>VLOOKUP(Prep[[#This Row],[Team]],OOWP_Calc[],2,0)</f>
        <v>#DIV/0!</v>
      </c>
      <c r="E85" s="3">
        <f>VLOOKUP(Prep[[#This Row],[Team]],WP_Calc[],2,0)+VLOOKUP(Prep[[#This Row],[Team]],WP_Calc[],3,0)</f>
        <v>0</v>
      </c>
      <c r="F85" s="6" t="e">
        <f>Prep[[#This Row],[WP]]*0.25+Prep[[#This Row],[OWP]]*0.5+Prep[[#This Row],[OOWP]]*0.25</f>
        <v>#VALUE!</v>
      </c>
    </row>
    <row r="86" spans="1:6" x14ac:dyDescent="0.2">
      <c r="A86" t="str">
        <f>WP_Calc[[#This Row],[Team]]</f>
        <v/>
      </c>
      <c r="B86" s="6" t="str">
        <f>VLOOKUP(Prep[[#This Row],[Team]],WP_Calc[],4,0)</f>
        <v/>
      </c>
      <c r="C86" s="6" t="e">
        <f>VLOOKUP(Prep[[#This Row],[Team]],OWP_Calc[],2,0)</f>
        <v>#DIV/0!</v>
      </c>
      <c r="D86" s="6" t="e">
        <f>VLOOKUP(Prep[[#This Row],[Team]],OOWP_Calc[],2,0)</f>
        <v>#DIV/0!</v>
      </c>
      <c r="E86" s="3">
        <f>VLOOKUP(Prep[[#This Row],[Team]],WP_Calc[],2,0)+VLOOKUP(Prep[[#This Row],[Team]],WP_Calc[],3,0)</f>
        <v>0</v>
      </c>
      <c r="F86" s="6" t="e">
        <f>Prep[[#This Row],[WP]]*0.25+Prep[[#This Row],[OWP]]*0.5+Prep[[#This Row],[OOWP]]*0.25</f>
        <v>#VALUE!</v>
      </c>
    </row>
    <row r="87" spans="1:6" x14ac:dyDescent="0.2">
      <c r="A87" t="str">
        <f>WP_Calc[[#This Row],[Team]]</f>
        <v/>
      </c>
      <c r="B87" s="6" t="str">
        <f>VLOOKUP(Prep[[#This Row],[Team]],WP_Calc[],4,0)</f>
        <v/>
      </c>
      <c r="C87" s="6" t="e">
        <f>VLOOKUP(Prep[[#This Row],[Team]],OWP_Calc[],2,0)</f>
        <v>#DIV/0!</v>
      </c>
      <c r="D87" s="6" t="e">
        <f>VLOOKUP(Prep[[#This Row],[Team]],OOWP_Calc[],2,0)</f>
        <v>#DIV/0!</v>
      </c>
      <c r="E87" s="3">
        <f>VLOOKUP(Prep[[#This Row],[Team]],WP_Calc[],2,0)+VLOOKUP(Prep[[#This Row],[Team]],WP_Calc[],3,0)</f>
        <v>0</v>
      </c>
      <c r="F87" s="6" t="e">
        <f>Prep[[#This Row],[WP]]*0.25+Prep[[#This Row],[OWP]]*0.5+Prep[[#This Row],[OOWP]]*0.25</f>
        <v>#VALUE!</v>
      </c>
    </row>
    <row r="88" spans="1:6" x14ac:dyDescent="0.2">
      <c r="A88" t="str">
        <f>WP_Calc[[#This Row],[Team]]</f>
        <v/>
      </c>
      <c r="B88" s="6" t="str">
        <f>VLOOKUP(Prep[[#This Row],[Team]],WP_Calc[],4,0)</f>
        <v/>
      </c>
      <c r="C88" s="6" t="e">
        <f>VLOOKUP(Prep[[#This Row],[Team]],OWP_Calc[],2,0)</f>
        <v>#DIV/0!</v>
      </c>
      <c r="D88" s="6" t="e">
        <f>VLOOKUP(Prep[[#This Row],[Team]],OOWP_Calc[],2,0)</f>
        <v>#DIV/0!</v>
      </c>
      <c r="E88" s="3">
        <f>VLOOKUP(Prep[[#This Row],[Team]],WP_Calc[],2,0)+VLOOKUP(Prep[[#This Row],[Team]],WP_Calc[],3,0)</f>
        <v>0</v>
      </c>
      <c r="F88" s="6" t="e">
        <f>Prep[[#This Row],[WP]]*0.25+Prep[[#This Row],[OWP]]*0.5+Prep[[#This Row],[OOWP]]*0.25</f>
        <v>#VALUE!</v>
      </c>
    </row>
    <row r="89" spans="1:6" x14ac:dyDescent="0.2">
      <c r="A89" t="str">
        <f>WP_Calc[[#This Row],[Team]]</f>
        <v/>
      </c>
      <c r="B89" s="6" t="str">
        <f>VLOOKUP(Prep[[#This Row],[Team]],WP_Calc[],4,0)</f>
        <v/>
      </c>
      <c r="C89" s="6" t="e">
        <f>VLOOKUP(Prep[[#This Row],[Team]],OWP_Calc[],2,0)</f>
        <v>#DIV/0!</v>
      </c>
      <c r="D89" s="6" t="e">
        <f>VLOOKUP(Prep[[#This Row],[Team]],OOWP_Calc[],2,0)</f>
        <v>#DIV/0!</v>
      </c>
      <c r="E89" s="3">
        <f>VLOOKUP(Prep[[#This Row],[Team]],WP_Calc[],2,0)+VLOOKUP(Prep[[#This Row],[Team]],WP_Calc[],3,0)</f>
        <v>0</v>
      </c>
      <c r="F89" s="6" t="e">
        <f>Prep[[#This Row],[WP]]*0.25+Prep[[#This Row],[OWP]]*0.5+Prep[[#This Row],[OOWP]]*0.25</f>
        <v>#VALUE!</v>
      </c>
    </row>
    <row r="90" spans="1:6" x14ac:dyDescent="0.2">
      <c r="A90" t="str">
        <f>WP_Calc[[#This Row],[Team]]</f>
        <v/>
      </c>
      <c r="B90" s="6" t="str">
        <f>VLOOKUP(Prep[[#This Row],[Team]],WP_Calc[],4,0)</f>
        <v/>
      </c>
      <c r="C90" s="6" t="e">
        <f>VLOOKUP(Prep[[#This Row],[Team]],OWP_Calc[],2,0)</f>
        <v>#DIV/0!</v>
      </c>
      <c r="D90" s="6" t="e">
        <f>VLOOKUP(Prep[[#This Row],[Team]],OOWP_Calc[],2,0)</f>
        <v>#DIV/0!</v>
      </c>
      <c r="E90" s="3">
        <f>VLOOKUP(Prep[[#This Row],[Team]],WP_Calc[],2,0)+VLOOKUP(Prep[[#This Row],[Team]],WP_Calc[],3,0)</f>
        <v>0</v>
      </c>
      <c r="F90" s="6" t="e">
        <f>Prep[[#This Row],[WP]]*0.25+Prep[[#This Row],[OWP]]*0.5+Prep[[#This Row],[OOWP]]*0.25</f>
        <v>#VALUE!</v>
      </c>
    </row>
    <row r="91" spans="1:6" x14ac:dyDescent="0.2">
      <c r="A91" t="str">
        <f>WP_Calc[[#This Row],[Team]]</f>
        <v/>
      </c>
      <c r="B91" s="6" t="str">
        <f>VLOOKUP(Prep[[#This Row],[Team]],WP_Calc[],4,0)</f>
        <v/>
      </c>
      <c r="C91" s="6" t="e">
        <f>VLOOKUP(Prep[[#This Row],[Team]],OWP_Calc[],2,0)</f>
        <v>#DIV/0!</v>
      </c>
      <c r="D91" s="6" t="e">
        <f>VLOOKUP(Prep[[#This Row],[Team]],OOWP_Calc[],2,0)</f>
        <v>#DIV/0!</v>
      </c>
      <c r="E91" s="3">
        <f>VLOOKUP(Prep[[#This Row],[Team]],WP_Calc[],2,0)+VLOOKUP(Prep[[#This Row],[Team]],WP_Calc[],3,0)</f>
        <v>0</v>
      </c>
      <c r="F91" s="6" t="e">
        <f>Prep[[#This Row],[WP]]*0.25+Prep[[#This Row],[OWP]]*0.5+Prep[[#This Row],[OOWP]]*0.25</f>
        <v>#VALUE!</v>
      </c>
    </row>
    <row r="92" spans="1:6" x14ac:dyDescent="0.2">
      <c r="A92" t="str">
        <f>WP_Calc[[#This Row],[Team]]</f>
        <v/>
      </c>
      <c r="B92" s="6" t="str">
        <f>VLOOKUP(Prep[[#This Row],[Team]],WP_Calc[],4,0)</f>
        <v/>
      </c>
      <c r="C92" s="6" t="e">
        <f>VLOOKUP(Prep[[#This Row],[Team]],OWP_Calc[],2,0)</f>
        <v>#DIV/0!</v>
      </c>
      <c r="D92" s="6" t="e">
        <f>VLOOKUP(Prep[[#This Row],[Team]],OOWP_Calc[],2,0)</f>
        <v>#DIV/0!</v>
      </c>
      <c r="E92" s="3">
        <f>VLOOKUP(Prep[[#This Row],[Team]],WP_Calc[],2,0)+VLOOKUP(Prep[[#This Row],[Team]],WP_Calc[],3,0)</f>
        <v>0</v>
      </c>
      <c r="F92" s="6" t="e">
        <f>Prep[[#This Row],[WP]]*0.25+Prep[[#This Row],[OWP]]*0.5+Prep[[#This Row],[OOWP]]*0.25</f>
        <v>#VALUE!</v>
      </c>
    </row>
    <row r="93" spans="1:6" x14ac:dyDescent="0.2">
      <c r="A93" t="str">
        <f>WP_Calc[[#This Row],[Team]]</f>
        <v/>
      </c>
      <c r="B93" s="6" t="str">
        <f>VLOOKUP(Prep[[#This Row],[Team]],WP_Calc[],4,0)</f>
        <v/>
      </c>
      <c r="C93" s="6" t="e">
        <f>VLOOKUP(Prep[[#This Row],[Team]],OWP_Calc[],2,0)</f>
        <v>#DIV/0!</v>
      </c>
      <c r="D93" s="6" t="e">
        <f>VLOOKUP(Prep[[#This Row],[Team]],OOWP_Calc[],2,0)</f>
        <v>#DIV/0!</v>
      </c>
      <c r="E93" s="3">
        <f>VLOOKUP(Prep[[#This Row],[Team]],WP_Calc[],2,0)+VLOOKUP(Prep[[#This Row],[Team]],WP_Calc[],3,0)</f>
        <v>0</v>
      </c>
      <c r="F93" s="6" t="e">
        <f>Prep[[#This Row],[WP]]*0.25+Prep[[#This Row],[OWP]]*0.5+Prep[[#This Row],[OOWP]]*0.25</f>
        <v>#VALUE!</v>
      </c>
    </row>
    <row r="94" spans="1:6" x14ac:dyDescent="0.2">
      <c r="A94" t="str">
        <f>WP_Calc[[#This Row],[Team]]</f>
        <v/>
      </c>
      <c r="B94" s="6" t="str">
        <f>VLOOKUP(Prep[[#This Row],[Team]],WP_Calc[],4,0)</f>
        <v/>
      </c>
      <c r="C94" s="6" t="e">
        <f>VLOOKUP(Prep[[#This Row],[Team]],OWP_Calc[],2,0)</f>
        <v>#DIV/0!</v>
      </c>
      <c r="D94" s="6" t="e">
        <f>VLOOKUP(Prep[[#This Row],[Team]],OOWP_Calc[],2,0)</f>
        <v>#DIV/0!</v>
      </c>
      <c r="E94" s="3">
        <f>VLOOKUP(Prep[[#This Row],[Team]],WP_Calc[],2,0)+VLOOKUP(Prep[[#This Row],[Team]],WP_Calc[],3,0)</f>
        <v>0</v>
      </c>
      <c r="F94" s="6" t="e">
        <f>Prep[[#This Row],[WP]]*0.25+Prep[[#This Row],[OWP]]*0.5+Prep[[#This Row],[OOWP]]*0.25</f>
        <v>#VALUE!</v>
      </c>
    </row>
    <row r="95" spans="1:6" x14ac:dyDescent="0.2">
      <c r="A95" t="str">
        <f>WP_Calc[[#This Row],[Team]]</f>
        <v/>
      </c>
      <c r="B95" s="6" t="str">
        <f>VLOOKUP(Prep[[#This Row],[Team]],WP_Calc[],4,0)</f>
        <v/>
      </c>
      <c r="C95" s="6" t="e">
        <f>VLOOKUP(Prep[[#This Row],[Team]],OWP_Calc[],2,0)</f>
        <v>#DIV/0!</v>
      </c>
      <c r="D95" s="6" t="e">
        <f>VLOOKUP(Prep[[#This Row],[Team]],OOWP_Calc[],2,0)</f>
        <v>#DIV/0!</v>
      </c>
      <c r="E95" s="3">
        <f>VLOOKUP(Prep[[#This Row],[Team]],WP_Calc[],2,0)+VLOOKUP(Prep[[#This Row],[Team]],WP_Calc[],3,0)</f>
        <v>0</v>
      </c>
      <c r="F95" s="6" t="e">
        <f>Prep[[#This Row],[WP]]*0.25+Prep[[#This Row],[OWP]]*0.5+Prep[[#This Row],[OOWP]]*0.25</f>
        <v>#VALUE!</v>
      </c>
    </row>
    <row r="96" spans="1:6" x14ac:dyDescent="0.2">
      <c r="A96" t="str">
        <f>WP_Calc[[#This Row],[Team]]</f>
        <v/>
      </c>
      <c r="B96" s="6" t="str">
        <f>VLOOKUP(Prep[[#This Row],[Team]],WP_Calc[],4,0)</f>
        <v/>
      </c>
      <c r="C96" s="6" t="e">
        <f>VLOOKUP(Prep[[#This Row],[Team]],OWP_Calc[],2,0)</f>
        <v>#DIV/0!</v>
      </c>
      <c r="D96" s="6" t="e">
        <f>VLOOKUP(Prep[[#This Row],[Team]],OOWP_Calc[],2,0)</f>
        <v>#DIV/0!</v>
      </c>
      <c r="E96" s="3">
        <f>VLOOKUP(Prep[[#This Row],[Team]],WP_Calc[],2,0)+VLOOKUP(Prep[[#This Row],[Team]],WP_Calc[],3,0)</f>
        <v>0</v>
      </c>
      <c r="F96" s="6" t="e">
        <f>Prep[[#This Row],[WP]]*0.25+Prep[[#This Row],[OWP]]*0.5+Prep[[#This Row],[OOWP]]*0.25</f>
        <v>#VALUE!</v>
      </c>
    </row>
    <row r="97" spans="1:6" x14ac:dyDescent="0.2">
      <c r="A97" t="str">
        <f>WP_Calc[[#This Row],[Team]]</f>
        <v/>
      </c>
      <c r="B97" s="6" t="str">
        <f>VLOOKUP(Prep[[#This Row],[Team]],WP_Calc[],4,0)</f>
        <v/>
      </c>
      <c r="C97" s="6" t="e">
        <f>VLOOKUP(Prep[[#This Row],[Team]],OWP_Calc[],2,0)</f>
        <v>#DIV/0!</v>
      </c>
      <c r="D97" s="6" t="e">
        <f>VLOOKUP(Prep[[#This Row],[Team]],OOWP_Calc[],2,0)</f>
        <v>#DIV/0!</v>
      </c>
      <c r="E97" s="3">
        <f>VLOOKUP(Prep[[#This Row],[Team]],WP_Calc[],2,0)+VLOOKUP(Prep[[#This Row],[Team]],WP_Calc[],3,0)</f>
        <v>0</v>
      </c>
      <c r="F97" s="6" t="e">
        <f>Prep[[#This Row],[WP]]*0.25+Prep[[#This Row],[OWP]]*0.5+Prep[[#This Row],[OOWP]]*0.25</f>
        <v>#VALUE!</v>
      </c>
    </row>
    <row r="98" spans="1:6" x14ac:dyDescent="0.2">
      <c r="A98" t="str">
        <f>WP_Calc[[#This Row],[Team]]</f>
        <v/>
      </c>
      <c r="B98" s="6" t="str">
        <f>VLOOKUP(Prep[[#This Row],[Team]],WP_Calc[],4,0)</f>
        <v/>
      </c>
      <c r="C98" s="6" t="e">
        <f>VLOOKUP(Prep[[#This Row],[Team]],OWP_Calc[],2,0)</f>
        <v>#DIV/0!</v>
      </c>
      <c r="D98" s="6" t="e">
        <f>VLOOKUP(Prep[[#This Row],[Team]],OOWP_Calc[],2,0)</f>
        <v>#DIV/0!</v>
      </c>
      <c r="E98" s="3">
        <f>VLOOKUP(Prep[[#This Row],[Team]],WP_Calc[],2,0)+VLOOKUP(Prep[[#This Row],[Team]],WP_Calc[],3,0)</f>
        <v>0</v>
      </c>
      <c r="F98" s="6" t="e">
        <f>Prep[[#This Row],[WP]]*0.25+Prep[[#This Row],[OWP]]*0.5+Prep[[#This Row],[OOWP]]*0.25</f>
        <v>#VALUE!</v>
      </c>
    </row>
    <row r="99" spans="1:6" x14ac:dyDescent="0.2">
      <c r="A99" t="str">
        <f>WP_Calc[[#This Row],[Team]]</f>
        <v/>
      </c>
      <c r="B99" s="6" t="str">
        <f>VLOOKUP(Prep[[#This Row],[Team]],WP_Calc[],4,0)</f>
        <v/>
      </c>
      <c r="C99" s="6" t="e">
        <f>VLOOKUP(Prep[[#This Row],[Team]],OWP_Calc[],2,0)</f>
        <v>#DIV/0!</v>
      </c>
      <c r="D99" s="6" t="e">
        <f>VLOOKUP(Prep[[#This Row],[Team]],OOWP_Calc[],2,0)</f>
        <v>#DIV/0!</v>
      </c>
      <c r="E99" s="3">
        <f>VLOOKUP(Prep[[#This Row],[Team]],WP_Calc[],2,0)+VLOOKUP(Prep[[#This Row],[Team]],WP_Calc[],3,0)</f>
        <v>0</v>
      </c>
      <c r="F99" s="6" t="e">
        <f>Prep[[#This Row],[WP]]*0.25+Prep[[#This Row],[OWP]]*0.5+Prep[[#This Row],[OOWP]]*0.25</f>
        <v>#VALUE!</v>
      </c>
    </row>
    <row r="100" spans="1:6" x14ac:dyDescent="0.2">
      <c r="A100" t="str">
        <f>WP_Calc[[#This Row],[Team]]</f>
        <v/>
      </c>
      <c r="B100" s="6" t="str">
        <f>VLOOKUP(Prep[[#This Row],[Team]],WP_Calc[],4,0)</f>
        <v/>
      </c>
      <c r="C100" s="6" t="e">
        <f>VLOOKUP(Prep[[#This Row],[Team]],OWP_Calc[],2,0)</f>
        <v>#DIV/0!</v>
      </c>
      <c r="D100" s="6" t="e">
        <f>VLOOKUP(Prep[[#This Row],[Team]],OOWP_Calc[],2,0)</f>
        <v>#DIV/0!</v>
      </c>
      <c r="E100" s="3">
        <f>VLOOKUP(Prep[[#This Row],[Team]],WP_Calc[],2,0)+VLOOKUP(Prep[[#This Row],[Team]],WP_Calc[],3,0)</f>
        <v>0</v>
      </c>
      <c r="F100" s="6" t="e">
        <f>Prep[[#This Row],[WP]]*0.25+Prep[[#This Row],[OWP]]*0.5+Prep[[#This Row],[OOWP]]*0.25</f>
        <v>#VALUE!</v>
      </c>
    </row>
    <row r="101" spans="1:6" x14ac:dyDescent="0.2">
      <c r="A101" t="str">
        <f>WP_Calc[[#This Row],[Team]]</f>
        <v/>
      </c>
      <c r="B101" s="6" t="str">
        <f>VLOOKUP(Prep[[#This Row],[Team]],WP_Calc[],4,0)</f>
        <v/>
      </c>
      <c r="C101" s="6" t="e">
        <f>VLOOKUP(Prep[[#This Row],[Team]],OWP_Calc[],2,0)</f>
        <v>#DIV/0!</v>
      </c>
      <c r="D101" s="6" t="e">
        <f>VLOOKUP(Prep[[#This Row],[Team]],OOWP_Calc[],2,0)</f>
        <v>#DIV/0!</v>
      </c>
      <c r="E101" s="3">
        <f>VLOOKUP(Prep[[#This Row],[Team]],WP_Calc[],2,0)+VLOOKUP(Prep[[#This Row],[Team]],WP_Calc[],3,0)</f>
        <v>0</v>
      </c>
      <c r="F101" s="6" t="e">
        <f>Prep[[#This Row],[WP]]*0.25+Prep[[#This Row],[OWP]]*0.5+Prep[[#This Row],[OOWP]]*0.25</f>
        <v>#VALUE!</v>
      </c>
    </row>
    <row r="102" spans="1:6" x14ac:dyDescent="0.2">
      <c r="A102" t="str">
        <f>WP_Calc[[#This Row],[Team]]</f>
        <v/>
      </c>
      <c r="B102" s="6" t="str">
        <f>VLOOKUP(Prep[[#This Row],[Team]],WP_Calc[],4,0)</f>
        <v/>
      </c>
      <c r="C102" s="6" t="e">
        <f>VLOOKUP(Prep[[#This Row],[Team]],OWP_Calc[],2,0)</f>
        <v>#DIV/0!</v>
      </c>
      <c r="D102" s="6" t="e">
        <f>VLOOKUP(Prep[[#This Row],[Team]],OOWP_Calc[],2,0)</f>
        <v>#DIV/0!</v>
      </c>
      <c r="E102" s="3">
        <f>VLOOKUP(Prep[[#This Row],[Team]],WP_Calc[],2,0)+VLOOKUP(Prep[[#This Row],[Team]],WP_Calc[],3,0)</f>
        <v>0</v>
      </c>
      <c r="F102" s="6" t="e">
        <f>Prep[[#This Row],[WP]]*0.25+Prep[[#This Row],[OWP]]*0.5+Prep[[#This Row],[OOWP]]*0.25</f>
        <v>#VALUE!</v>
      </c>
    </row>
    <row r="103" spans="1:6" x14ac:dyDescent="0.2">
      <c r="A103" t="str">
        <f>WP_Calc[[#This Row],[Team]]</f>
        <v/>
      </c>
      <c r="B103" s="6" t="str">
        <f>VLOOKUP(Prep[[#This Row],[Team]],WP_Calc[],4,0)</f>
        <v/>
      </c>
      <c r="C103" s="6" t="e">
        <f>VLOOKUP(Prep[[#This Row],[Team]],OWP_Calc[],2,0)</f>
        <v>#DIV/0!</v>
      </c>
      <c r="D103" s="6" t="e">
        <f>VLOOKUP(Prep[[#This Row],[Team]],OOWP_Calc[],2,0)</f>
        <v>#DIV/0!</v>
      </c>
      <c r="E103" s="3">
        <f>VLOOKUP(Prep[[#This Row],[Team]],WP_Calc[],2,0)+VLOOKUP(Prep[[#This Row],[Team]],WP_Calc[],3,0)</f>
        <v>0</v>
      </c>
      <c r="F103" s="6" t="e">
        <f>Prep[[#This Row],[WP]]*0.25+Prep[[#This Row],[OWP]]*0.5+Prep[[#This Row],[OOWP]]*0.25</f>
        <v>#VALUE!</v>
      </c>
    </row>
    <row r="104" spans="1:6" x14ac:dyDescent="0.2">
      <c r="A104" t="str">
        <f>WP_Calc[[#This Row],[Team]]</f>
        <v/>
      </c>
      <c r="B104" s="6" t="str">
        <f>VLOOKUP(Prep[[#This Row],[Team]],WP_Calc[],4,0)</f>
        <v/>
      </c>
      <c r="C104" s="6" t="e">
        <f>VLOOKUP(Prep[[#This Row],[Team]],OWP_Calc[],2,0)</f>
        <v>#DIV/0!</v>
      </c>
      <c r="D104" s="6" t="e">
        <f>VLOOKUP(Prep[[#This Row],[Team]],OOWP_Calc[],2,0)</f>
        <v>#DIV/0!</v>
      </c>
      <c r="E104" s="3">
        <f>VLOOKUP(Prep[[#This Row],[Team]],WP_Calc[],2,0)+VLOOKUP(Prep[[#This Row],[Team]],WP_Calc[],3,0)</f>
        <v>0</v>
      </c>
      <c r="F104" s="6" t="e">
        <f>Prep[[#This Row],[WP]]*0.25+Prep[[#This Row],[OWP]]*0.5+Prep[[#This Row],[OOWP]]*0.25</f>
        <v>#VALUE!</v>
      </c>
    </row>
    <row r="105" spans="1:6" x14ac:dyDescent="0.2">
      <c r="A105" t="str">
        <f>WP_Calc[[#This Row],[Team]]</f>
        <v/>
      </c>
      <c r="B105" s="6" t="str">
        <f>VLOOKUP(Prep[[#This Row],[Team]],WP_Calc[],4,0)</f>
        <v/>
      </c>
      <c r="C105" s="6" t="e">
        <f>VLOOKUP(Prep[[#This Row],[Team]],OWP_Calc[],2,0)</f>
        <v>#DIV/0!</v>
      </c>
      <c r="D105" s="6" t="e">
        <f>VLOOKUP(Prep[[#This Row],[Team]],OOWP_Calc[],2,0)</f>
        <v>#DIV/0!</v>
      </c>
      <c r="E105" s="3">
        <f>VLOOKUP(Prep[[#This Row],[Team]],WP_Calc[],2,0)+VLOOKUP(Prep[[#This Row],[Team]],WP_Calc[],3,0)</f>
        <v>0</v>
      </c>
      <c r="F105" s="6" t="e">
        <f>Prep[[#This Row],[WP]]*0.25+Prep[[#This Row],[OWP]]*0.5+Prep[[#This Row],[OOWP]]*0.25</f>
        <v>#VALUE!</v>
      </c>
    </row>
    <row r="106" spans="1:6" x14ac:dyDescent="0.2">
      <c r="A106" t="str">
        <f>WP_Calc[[#This Row],[Team]]</f>
        <v/>
      </c>
      <c r="B106" s="6" t="str">
        <f>VLOOKUP(Prep[[#This Row],[Team]],WP_Calc[],4,0)</f>
        <v/>
      </c>
      <c r="C106" s="6" t="e">
        <f>VLOOKUP(Prep[[#This Row],[Team]],OWP_Calc[],2,0)</f>
        <v>#DIV/0!</v>
      </c>
      <c r="D106" s="6" t="e">
        <f>VLOOKUP(Prep[[#This Row],[Team]],OOWP_Calc[],2,0)</f>
        <v>#DIV/0!</v>
      </c>
      <c r="E106" s="3">
        <f>VLOOKUP(Prep[[#This Row],[Team]],WP_Calc[],2,0)+VLOOKUP(Prep[[#This Row],[Team]],WP_Calc[],3,0)</f>
        <v>0</v>
      </c>
      <c r="F106" s="6" t="e">
        <f>Prep[[#This Row],[WP]]*0.25+Prep[[#This Row],[OWP]]*0.5+Prep[[#This Row],[OOWP]]*0.25</f>
        <v>#VALUE!</v>
      </c>
    </row>
    <row r="107" spans="1:6" x14ac:dyDescent="0.2">
      <c r="A107" t="str">
        <f>WP_Calc[[#This Row],[Team]]</f>
        <v/>
      </c>
      <c r="B107" s="6" t="str">
        <f>VLOOKUP(Prep[[#This Row],[Team]],WP_Calc[],4,0)</f>
        <v/>
      </c>
      <c r="C107" s="6" t="e">
        <f>VLOOKUP(Prep[[#This Row],[Team]],OWP_Calc[],2,0)</f>
        <v>#DIV/0!</v>
      </c>
      <c r="D107" s="6" t="e">
        <f>VLOOKUP(Prep[[#This Row],[Team]],OOWP_Calc[],2,0)</f>
        <v>#DIV/0!</v>
      </c>
      <c r="E107" s="3">
        <f>VLOOKUP(Prep[[#This Row],[Team]],WP_Calc[],2,0)+VLOOKUP(Prep[[#This Row],[Team]],WP_Calc[],3,0)</f>
        <v>0</v>
      </c>
      <c r="F107" s="6" t="e">
        <f>Prep[[#This Row],[WP]]*0.25+Prep[[#This Row],[OWP]]*0.5+Prep[[#This Row],[OOWP]]*0.25</f>
        <v>#VALUE!</v>
      </c>
    </row>
    <row r="108" spans="1:6" x14ac:dyDescent="0.2">
      <c r="A108" t="str">
        <f>WP_Calc[[#This Row],[Team]]</f>
        <v/>
      </c>
      <c r="B108" s="6" t="str">
        <f>VLOOKUP(Prep[[#This Row],[Team]],WP_Calc[],4,0)</f>
        <v/>
      </c>
      <c r="C108" s="6" t="e">
        <f>VLOOKUP(Prep[[#This Row],[Team]],OWP_Calc[],2,0)</f>
        <v>#DIV/0!</v>
      </c>
      <c r="D108" s="6" t="e">
        <f>VLOOKUP(Prep[[#This Row],[Team]],OOWP_Calc[],2,0)</f>
        <v>#DIV/0!</v>
      </c>
      <c r="E108" s="3">
        <f>VLOOKUP(Prep[[#This Row],[Team]],WP_Calc[],2,0)+VLOOKUP(Prep[[#This Row],[Team]],WP_Calc[],3,0)</f>
        <v>0</v>
      </c>
      <c r="F108" s="6" t="e">
        <f>Prep[[#This Row],[WP]]*0.25+Prep[[#This Row],[OWP]]*0.5+Prep[[#This Row],[OOWP]]*0.25</f>
        <v>#VALUE!</v>
      </c>
    </row>
    <row r="109" spans="1:6" x14ac:dyDescent="0.2">
      <c r="A109" t="str">
        <f>WP_Calc[[#This Row],[Team]]</f>
        <v/>
      </c>
      <c r="B109" s="6" t="str">
        <f>VLOOKUP(Prep[[#This Row],[Team]],WP_Calc[],4,0)</f>
        <v/>
      </c>
      <c r="C109" s="6" t="e">
        <f>VLOOKUP(Prep[[#This Row],[Team]],OWP_Calc[],2,0)</f>
        <v>#DIV/0!</v>
      </c>
      <c r="D109" s="6" t="e">
        <f>VLOOKUP(Prep[[#This Row],[Team]],OOWP_Calc[],2,0)</f>
        <v>#DIV/0!</v>
      </c>
      <c r="E109" s="3">
        <f>VLOOKUP(Prep[[#This Row],[Team]],WP_Calc[],2,0)+VLOOKUP(Prep[[#This Row],[Team]],WP_Calc[],3,0)</f>
        <v>0</v>
      </c>
      <c r="F109" s="6" t="e">
        <f>Prep[[#This Row],[WP]]*0.25+Prep[[#This Row],[OWP]]*0.5+Prep[[#This Row],[OOWP]]*0.25</f>
        <v>#VALUE!</v>
      </c>
    </row>
    <row r="110" spans="1:6" x14ac:dyDescent="0.2">
      <c r="A110" t="str">
        <f>WP_Calc[[#This Row],[Team]]</f>
        <v/>
      </c>
      <c r="B110" s="6" t="str">
        <f>VLOOKUP(Prep[[#This Row],[Team]],WP_Calc[],4,0)</f>
        <v/>
      </c>
      <c r="C110" s="6" t="e">
        <f>VLOOKUP(Prep[[#This Row],[Team]],OWP_Calc[],2,0)</f>
        <v>#DIV/0!</v>
      </c>
      <c r="D110" s="6" t="e">
        <f>VLOOKUP(Prep[[#This Row],[Team]],OOWP_Calc[],2,0)</f>
        <v>#DIV/0!</v>
      </c>
      <c r="E110" s="3">
        <f>VLOOKUP(Prep[[#This Row],[Team]],WP_Calc[],2,0)+VLOOKUP(Prep[[#This Row],[Team]],WP_Calc[],3,0)</f>
        <v>0</v>
      </c>
      <c r="F110" s="6" t="e">
        <f>Prep[[#This Row],[WP]]*0.25+Prep[[#This Row],[OWP]]*0.5+Prep[[#This Row],[OOWP]]*0.25</f>
        <v>#VALUE!</v>
      </c>
    </row>
    <row r="111" spans="1:6" x14ac:dyDescent="0.2">
      <c r="A111" t="str">
        <f>WP_Calc[[#This Row],[Team]]</f>
        <v/>
      </c>
      <c r="B111" s="6" t="str">
        <f>VLOOKUP(Prep[[#This Row],[Team]],WP_Calc[],4,0)</f>
        <v/>
      </c>
      <c r="C111" s="6" t="e">
        <f>VLOOKUP(Prep[[#This Row],[Team]],OWP_Calc[],2,0)</f>
        <v>#DIV/0!</v>
      </c>
      <c r="D111" s="6" t="e">
        <f>VLOOKUP(Prep[[#This Row],[Team]],OOWP_Calc[],2,0)</f>
        <v>#DIV/0!</v>
      </c>
      <c r="E111" s="3">
        <f>VLOOKUP(Prep[[#This Row],[Team]],WP_Calc[],2,0)+VLOOKUP(Prep[[#This Row],[Team]],WP_Calc[],3,0)</f>
        <v>0</v>
      </c>
      <c r="F111" s="6" t="e">
        <f>Prep[[#This Row],[WP]]*0.25+Prep[[#This Row],[OWP]]*0.5+Prep[[#This Row],[OOWP]]*0.25</f>
        <v>#VALUE!</v>
      </c>
    </row>
    <row r="112" spans="1:6" x14ac:dyDescent="0.2">
      <c r="A112" t="str">
        <f>WP_Calc[[#This Row],[Team]]</f>
        <v/>
      </c>
      <c r="B112" s="6" t="str">
        <f>VLOOKUP(Prep[[#This Row],[Team]],WP_Calc[],4,0)</f>
        <v/>
      </c>
      <c r="C112" s="6" t="e">
        <f>VLOOKUP(Prep[[#This Row],[Team]],OWP_Calc[],2,0)</f>
        <v>#DIV/0!</v>
      </c>
      <c r="D112" s="6" t="e">
        <f>VLOOKUP(Prep[[#This Row],[Team]],OOWP_Calc[],2,0)</f>
        <v>#DIV/0!</v>
      </c>
      <c r="E112" s="3">
        <f>VLOOKUP(Prep[[#This Row],[Team]],WP_Calc[],2,0)+VLOOKUP(Prep[[#This Row],[Team]],WP_Calc[],3,0)</f>
        <v>0</v>
      </c>
      <c r="F112" s="6" t="e">
        <f>Prep[[#This Row],[WP]]*0.25+Prep[[#This Row],[OWP]]*0.5+Prep[[#This Row],[OOWP]]*0.25</f>
        <v>#VALUE!</v>
      </c>
    </row>
    <row r="113" spans="1:6" x14ac:dyDescent="0.2">
      <c r="A113" t="str">
        <f>WP_Calc[[#This Row],[Team]]</f>
        <v/>
      </c>
      <c r="B113" s="6" t="str">
        <f>VLOOKUP(Prep[[#This Row],[Team]],WP_Calc[],4,0)</f>
        <v/>
      </c>
      <c r="C113" s="6" t="e">
        <f>VLOOKUP(Prep[[#This Row],[Team]],OWP_Calc[],2,0)</f>
        <v>#DIV/0!</v>
      </c>
      <c r="D113" s="6" t="e">
        <f>VLOOKUP(Prep[[#This Row],[Team]],OOWP_Calc[],2,0)</f>
        <v>#DIV/0!</v>
      </c>
      <c r="E113" s="3">
        <f>VLOOKUP(Prep[[#This Row],[Team]],WP_Calc[],2,0)+VLOOKUP(Prep[[#This Row],[Team]],WP_Calc[],3,0)</f>
        <v>0</v>
      </c>
      <c r="F113" s="6" t="e">
        <f>Prep[[#This Row],[WP]]*0.25+Prep[[#This Row],[OWP]]*0.5+Prep[[#This Row],[OOWP]]*0.25</f>
        <v>#VALUE!</v>
      </c>
    </row>
    <row r="114" spans="1:6" x14ac:dyDescent="0.2">
      <c r="A114" t="str">
        <f>WP_Calc[[#This Row],[Team]]</f>
        <v/>
      </c>
      <c r="B114" s="6" t="str">
        <f>VLOOKUP(Prep[[#This Row],[Team]],WP_Calc[],4,0)</f>
        <v/>
      </c>
      <c r="C114" s="6" t="e">
        <f>VLOOKUP(Prep[[#This Row],[Team]],OWP_Calc[],2,0)</f>
        <v>#DIV/0!</v>
      </c>
      <c r="D114" s="6" t="e">
        <f>VLOOKUP(Prep[[#This Row],[Team]],OOWP_Calc[],2,0)</f>
        <v>#DIV/0!</v>
      </c>
      <c r="E114" s="3">
        <f>VLOOKUP(Prep[[#This Row],[Team]],WP_Calc[],2,0)+VLOOKUP(Prep[[#This Row],[Team]],WP_Calc[],3,0)</f>
        <v>0</v>
      </c>
      <c r="F114" s="6" t="e">
        <f>Prep[[#This Row],[WP]]*0.25+Prep[[#This Row],[OWP]]*0.5+Prep[[#This Row],[OOWP]]*0.25</f>
        <v>#VALUE!</v>
      </c>
    </row>
    <row r="115" spans="1:6" x14ac:dyDescent="0.2">
      <c r="A115" t="str">
        <f>WP_Calc[[#This Row],[Team]]</f>
        <v/>
      </c>
      <c r="B115" s="6" t="str">
        <f>VLOOKUP(Prep[[#This Row],[Team]],WP_Calc[],4,0)</f>
        <v/>
      </c>
      <c r="C115" s="6" t="e">
        <f>VLOOKUP(Prep[[#This Row],[Team]],OWP_Calc[],2,0)</f>
        <v>#DIV/0!</v>
      </c>
      <c r="D115" s="6" t="e">
        <f>VLOOKUP(Prep[[#This Row],[Team]],OOWP_Calc[],2,0)</f>
        <v>#DIV/0!</v>
      </c>
      <c r="E115" s="3">
        <f>VLOOKUP(Prep[[#This Row],[Team]],WP_Calc[],2,0)+VLOOKUP(Prep[[#This Row],[Team]],WP_Calc[],3,0)</f>
        <v>0</v>
      </c>
      <c r="F115" s="6" t="e">
        <f>Prep[[#This Row],[WP]]*0.25+Prep[[#This Row],[OWP]]*0.5+Prep[[#This Row],[OOWP]]*0.25</f>
        <v>#VALUE!</v>
      </c>
    </row>
    <row r="116" spans="1:6" x14ac:dyDescent="0.2">
      <c r="A116" t="str">
        <f>WP_Calc[[#This Row],[Team]]</f>
        <v/>
      </c>
      <c r="B116" s="6" t="str">
        <f>VLOOKUP(Prep[[#This Row],[Team]],WP_Calc[],4,0)</f>
        <v/>
      </c>
      <c r="C116" s="6" t="e">
        <f>VLOOKUP(Prep[[#This Row],[Team]],OWP_Calc[],2,0)</f>
        <v>#DIV/0!</v>
      </c>
      <c r="D116" s="6" t="e">
        <f>VLOOKUP(Prep[[#This Row],[Team]],OOWP_Calc[],2,0)</f>
        <v>#DIV/0!</v>
      </c>
      <c r="E116" s="3">
        <f>VLOOKUP(Prep[[#This Row],[Team]],WP_Calc[],2,0)+VLOOKUP(Prep[[#This Row],[Team]],WP_Calc[],3,0)</f>
        <v>0</v>
      </c>
      <c r="F116" s="6" t="e">
        <f>Prep[[#This Row],[WP]]*0.25+Prep[[#This Row],[OWP]]*0.5+Prep[[#This Row],[OOWP]]*0.25</f>
        <v>#VALUE!</v>
      </c>
    </row>
    <row r="117" spans="1:6" x14ac:dyDescent="0.2">
      <c r="A117" t="str">
        <f>WP_Calc[[#This Row],[Team]]</f>
        <v/>
      </c>
      <c r="B117" s="6" t="str">
        <f>VLOOKUP(Prep[[#This Row],[Team]],WP_Calc[],4,0)</f>
        <v/>
      </c>
      <c r="C117" s="6" t="e">
        <f>VLOOKUP(Prep[[#This Row],[Team]],OWP_Calc[],2,0)</f>
        <v>#DIV/0!</v>
      </c>
      <c r="D117" s="6" t="e">
        <f>VLOOKUP(Prep[[#This Row],[Team]],OOWP_Calc[],2,0)</f>
        <v>#DIV/0!</v>
      </c>
      <c r="E117" s="3">
        <f>VLOOKUP(Prep[[#This Row],[Team]],WP_Calc[],2,0)+VLOOKUP(Prep[[#This Row],[Team]],WP_Calc[],3,0)</f>
        <v>0</v>
      </c>
      <c r="F117" s="6" t="e">
        <f>Prep[[#This Row],[WP]]*0.25+Prep[[#This Row],[OWP]]*0.5+Prep[[#This Row],[OOWP]]*0.25</f>
        <v>#VALUE!</v>
      </c>
    </row>
    <row r="118" spans="1:6" x14ac:dyDescent="0.2">
      <c r="A118" t="str">
        <f>WP_Calc[[#This Row],[Team]]</f>
        <v/>
      </c>
      <c r="B118" s="6" t="str">
        <f>VLOOKUP(Prep[[#This Row],[Team]],WP_Calc[],4,0)</f>
        <v/>
      </c>
      <c r="C118" s="6" t="e">
        <f>VLOOKUP(Prep[[#This Row],[Team]],OWP_Calc[],2,0)</f>
        <v>#DIV/0!</v>
      </c>
      <c r="D118" s="6" t="e">
        <f>VLOOKUP(Prep[[#This Row],[Team]],OOWP_Calc[],2,0)</f>
        <v>#DIV/0!</v>
      </c>
      <c r="E118" s="3">
        <f>VLOOKUP(Prep[[#This Row],[Team]],WP_Calc[],2,0)+VLOOKUP(Prep[[#This Row],[Team]],WP_Calc[],3,0)</f>
        <v>0</v>
      </c>
      <c r="F118" s="6" t="e">
        <f>Prep[[#This Row],[WP]]*0.25+Prep[[#This Row],[OWP]]*0.5+Prep[[#This Row],[OOWP]]*0.25</f>
        <v>#VALUE!</v>
      </c>
    </row>
    <row r="119" spans="1:6" x14ac:dyDescent="0.2">
      <c r="A119" t="str">
        <f>WP_Calc[[#This Row],[Team]]</f>
        <v/>
      </c>
      <c r="B119" s="6" t="str">
        <f>VLOOKUP(Prep[[#This Row],[Team]],WP_Calc[],4,0)</f>
        <v/>
      </c>
      <c r="C119" s="6" t="e">
        <f>VLOOKUP(Prep[[#This Row],[Team]],OWP_Calc[],2,0)</f>
        <v>#DIV/0!</v>
      </c>
      <c r="D119" s="6" t="e">
        <f>VLOOKUP(Prep[[#This Row],[Team]],OOWP_Calc[],2,0)</f>
        <v>#DIV/0!</v>
      </c>
      <c r="E119" s="3">
        <f>VLOOKUP(Prep[[#This Row],[Team]],WP_Calc[],2,0)+VLOOKUP(Prep[[#This Row],[Team]],WP_Calc[],3,0)</f>
        <v>0</v>
      </c>
      <c r="F119" s="6" t="e">
        <f>Prep[[#This Row],[WP]]*0.25+Prep[[#This Row],[OWP]]*0.5+Prep[[#This Row],[OOWP]]*0.25</f>
        <v>#VALUE!</v>
      </c>
    </row>
    <row r="120" spans="1:6" x14ac:dyDescent="0.2">
      <c r="A120" t="str">
        <f>WP_Calc[[#This Row],[Team]]</f>
        <v/>
      </c>
      <c r="B120" s="6" t="str">
        <f>VLOOKUP(Prep[[#This Row],[Team]],WP_Calc[],4,0)</f>
        <v/>
      </c>
      <c r="C120" s="6" t="e">
        <f>VLOOKUP(Prep[[#This Row],[Team]],OWP_Calc[],2,0)</f>
        <v>#DIV/0!</v>
      </c>
      <c r="D120" s="6" t="e">
        <f>VLOOKUP(Prep[[#This Row],[Team]],OOWP_Calc[],2,0)</f>
        <v>#DIV/0!</v>
      </c>
      <c r="E120" s="3">
        <f>VLOOKUP(Prep[[#This Row],[Team]],WP_Calc[],2,0)+VLOOKUP(Prep[[#This Row],[Team]],WP_Calc[],3,0)</f>
        <v>0</v>
      </c>
      <c r="F120" s="6" t="e">
        <f>Prep[[#This Row],[WP]]*0.25+Prep[[#This Row],[OWP]]*0.5+Prep[[#This Row],[OOWP]]*0.25</f>
        <v>#VALUE!</v>
      </c>
    </row>
    <row r="121" spans="1:6" x14ac:dyDescent="0.2">
      <c r="A121" t="str">
        <f>WP_Calc[[#This Row],[Team]]</f>
        <v/>
      </c>
      <c r="B121" s="6" t="str">
        <f>VLOOKUP(Prep[[#This Row],[Team]],WP_Calc[],4,0)</f>
        <v/>
      </c>
      <c r="C121" s="6" t="e">
        <f>VLOOKUP(Prep[[#This Row],[Team]],OWP_Calc[],2,0)</f>
        <v>#DIV/0!</v>
      </c>
      <c r="D121" s="6" t="e">
        <f>VLOOKUP(Prep[[#This Row],[Team]],OOWP_Calc[],2,0)</f>
        <v>#DIV/0!</v>
      </c>
      <c r="E121" s="3">
        <f>VLOOKUP(Prep[[#This Row],[Team]],WP_Calc[],2,0)+VLOOKUP(Prep[[#This Row],[Team]],WP_Calc[],3,0)</f>
        <v>0</v>
      </c>
      <c r="F121" s="6" t="e">
        <f>Prep[[#This Row],[WP]]*0.25+Prep[[#This Row],[OWP]]*0.5+Prep[[#This Row],[OOWP]]*0.25</f>
        <v>#VALUE!</v>
      </c>
    </row>
    <row r="122" spans="1:6" x14ac:dyDescent="0.2">
      <c r="A122" t="str">
        <f>WP_Calc[[#This Row],[Team]]</f>
        <v/>
      </c>
      <c r="B122" s="6" t="str">
        <f>VLOOKUP(Prep[[#This Row],[Team]],WP_Calc[],4,0)</f>
        <v/>
      </c>
      <c r="C122" s="6" t="e">
        <f>VLOOKUP(Prep[[#This Row],[Team]],OWP_Calc[],2,0)</f>
        <v>#DIV/0!</v>
      </c>
      <c r="D122" s="6" t="e">
        <f>VLOOKUP(Prep[[#This Row],[Team]],OOWP_Calc[],2,0)</f>
        <v>#DIV/0!</v>
      </c>
      <c r="E122" s="3">
        <f>VLOOKUP(Prep[[#This Row],[Team]],WP_Calc[],2,0)+VLOOKUP(Prep[[#This Row],[Team]],WP_Calc[],3,0)</f>
        <v>0</v>
      </c>
      <c r="F122" s="6" t="e">
        <f>Prep[[#This Row],[WP]]*0.25+Prep[[#This Row],[OWP]]*0.5+Prep[[#This Row],[OOWP]]*0.25</f>
        <v>#VALUE!</v>
      </c>
    </row>
    <row r="123" spans="1:6" x14ac:dyDescent="0.2">
      <c r="A123" t="str">
        <f>WP_Calc[[#This Row],[Team]]</f>
        <v/>
      </c>
      <c r="B123" s="6" t="str">
        <f>VLOOKUP(Prep[[#This Row],[Team]],WP_Calc[],4,0)</f>
        <v/>
      </c>
      <c r="C123" s="6" t="e">
        <f>VLOOKUP(Prep[[#This Row],[Team]],OWP_Calc[],2,0)</f>
        <v>#DIV/0!</v>
      </c>
      <c r="D123" s="6" t="e">
        <f>VLOOKUP(Prep[[#This Row],[Team]],OOWP_Calc[],2,0)</f>
        <v>#DIV/0!</v>
      </c>
      <c r="E123" s="3">
        <f>VLOOKUP(Prep[[#This Row],[Team]],WP_Calc[],2,0)+VLOOKUP(Prep[[#This Row],[Team]],WP_Calc[],3,0)</f>
        <v>0</v>
      </c>
      <c r="F123" s="6" t="e">
        <f>Prep[[#This Row],[WP]]*0.25+Prep[[#This Row],[OWP]]*0.5+Prep[[#This Row],[OOWP]]*0.25</f>
        <v>#VALUE!</v>
      </c>
    </row>
    <row r="124" spans="1:6" x14ac:dyDescent="0.2">
      <c r="A124" t="str">
        <f>WP_Calc[[#This Row],[Team]]</f>
        <v/>
      </c>
      <c r="B124" s="6" t="str">
        <f>VLOOKUP(Prep[[#This Row],[Team]],WP_Calc[],4,0)</f>
        <v/>
      </c>
      <c r="C124" s="6" t="e">
        <f>VLOOKUP(Prep[[#This Row],[Team]],OWP_Calc[],2,0)</f>
        <v>#DIV/0!</v>
      </c>
      <c r="D124" s="6" t="e">
        <f>VLOOKUP(Prep[[#This Row],[Team]],OOWP_Calc[],2,0)</f>
        <v>#DIV/0!</v>
      </c>
      <c r="E124" s="3">
        <f>VLOOKUP(Prep[[#This Row],[Team]],WP_Calc[],2,0)+VLOOKUP(Prep[[#This Row],[Team]],WP_Calc[],3,0)</f>
        <v>0</v>
      </c>
      <c r="F124" s="6" t="e">
        <f>Prep[[#This Row],[WP]]*0.25+Prep[[#This Row],[OWP]]*0.5+Prep[[#This Row],[OOWP]]*0.25</f>
        <v>#VALUE!</v>
      </c>
    </row>
    <row r="125" spans="1:6" x14ac:dyDescent="0.2">
      <c r="A125" t="str">
        <f>WP_Calc[[#This Row],[Team]]</f>
        <v/>
      </c>
      <c r="B125" s="6" t="str">
        <f>VLOOKUP(Prep[[#This Row],[Team]],WP_Calc[],4,0)</f>
        <v/>
      </c>
      <c r="C125" s="6" t="e">
        <f>VLOOKUP(Prep[[#This Row],[Team]],OWP_Calc[],2,0)</f>
        <v>#DIV/0!</v>
      </c>
      <c r="D125" s="6" t="e">
        <f>VLOOKUP(Prep[[#This Row],[Team]],OOWP_Calc[],2,0)</f>
        <v>#DIV/0!</v>
      </c>
      <c r="E125" s="3">
        <f>VLOOKUP(Prep[[#This Row],[Team]],WP_Calc[],2,0)+VLOOKUP(Prep[[#This Row],[Team]],WP_Calc[],3,0)</f>
        <v>0</v>
      </c>
      <c r="F125" s="6" t="e">
        <f>Prep[[#This Row],[WP]]*0.25+Prep[[#This Row],[OWP]]*0.5+Prep[[#This Row],[OOWP]]*0.25</f>
        <v>#VALUE!</v>
      </c>
    </row>
    <row r="126" spans="1:6" x14ac:dyDescent="0.2">
      <c r="A126" t="str">
        <f>WP_Calc[[#This Row],[Team]]</f>
        <v/>
      </c>
      <c r="B126" s="6" t="str">
        <f>VLOOKUP(Prep[[#This Row],[Team]],WP_Calc[],4,0)</f>
        <v/>
      </c>
      <c r="C126" s="6" t="e">
        <f>VLOOKUP(Prep[[#This Row],[Team]],OWP_Calc[],2,0)</f>
        <v>#DIV/0!</v>
      </c>
      <c r="D126" s="6" t="e">
        <f>VLOOKUP(Prep[[#This Row],[Team]],OOWP_Calc[],2,0)</f>
        <v>#DIV/0!</v>
      </c>
      <c r="E126" s="3">
        <f>VLOOKUP(Prep[[#This Row],[Team]],WP_Calc[],2,0)+VLOOKUP(Prep[[#This Row],[Team]],WP_Calc[],3,0)</f>
        <v>0</v>
      </c>
      <c r="F126" s="6" t="e">
        <f>Prep[[#This Row],[WP]]*0.25+Prep[[#This Row],[OWP]]*0.5+Prep[[#This Row],[OOWP]]*0.25</f>
        <v>#VALUE!</v>
      </c>
    </row>
    <row r="127" spans="1:6" x14ac:dyDescent="0.2">
      <c r="A127" t="str">
        <f>WP_Calc[[#This Row],[Team]]</f>
        <v/>
      </c>
      <c r="B127" s="6" t="str">
        <f>VLOOKUP(Prep[[#This Row],[Team]],WP_Calc[],4,0)</f>
        <v/>
      </c>
      <c r="C127" s="6" t="e">
        <f>VLOOKUP(Prep[[#This Row],[Team]],OWP_Calc[],2,0)</f>
        <v>#DIV/0!</v>
      </c>
      <c r="D127" s="6" t="e">
        <f>VLOOKUP(Prep[[#This Row],[Team]],OOWP_Calc[],2,0)</f>
        <v>#DIV/0!</v>
      </c>
      <c r="E127" s="3">
        <f>VLOOKUP(Prep[[#This Row],[Team]],WP_Calc[],2,0)+VLOOKUP(Prep[[#This Row],[Team]],WP_Calc[],3,0)</f>
        <v>0</v>
      </c>
      <c r="F127" s="6" t="e">
        <f>Prep[[#This Row],[WP]]*0.25+Prep[[#This Row],[OWP]]*0.5+Prep[[#This Row],[OOWP]]*0.25</f>
        <v>#VALUE!</v>
      </c>
    </row>
    <row r="128" spans="1:6" x14ac:dyDescent="0.2">
      <c r="A128" t="str">
        <f>WP_Calc[[#This Row],[Team]]</f>
        <v/>
      </c>
      <c r="B128" s="6" t="str">
        <f>VLOOKUP(Prep[[#This Row],[Team]],WP_Calc[],4,0)</f>
        <v/>
      </c>
      <c r="C128" s="6" t="e">
        <f>VLOOKUP(Prep[[#This Row],[Team]],OWP_Calc[],2,0)</f>
        <v>#DIV/0!</v>
      </c>
      <c r="D128" s="6" t="e">
        <f>VLOOKUP(Prep[[#This Row],[Team]],OOWP_Calc[],2,0)</f>
        <v>#DIV/0!</v>
      </c>
      <c r="E128" s="3">
        <f>VLOOKUP(Prep[[#This Row],[Team]],WP_Calc[],2,0)+VLOOKUP(Prep[[#This Row],[Team]],WP_Calc[],3,0)</f>
        <v>0</v>
      </c>
      <c r="F128" s="6" t="e">
        <f>Prep[[#This Row],[WP]]*0.25+Prep[[#This Row],[OWP]]*0.5+Prep[[#This Row],[OOWP]]*0.25</f>
        <v>#VALUE!</v>
      </c>
    </row>
    <row r="129" spans="1:6" x14ac:dyDescent="0.2">
      <c r="A129" t="str">
        <f>WP_Calc[[#This Row],[Team]]</f>
        <v/>
      </c>
      <c r="B129" s="6" t="str">
        <f>VLOOKUP(Prep[[#This Row],[Team]],WP_Calc[],4,0)</f>
        <v/>
      </c>
      <c r="C129" s="6" t="e">
        <f>VLOOKUP(Prep[[#This Row],[Team]],OWP_Calc[],2,0)</f>
        <v>#DIV/0!</v>
      </c>
      <c r="D129" s="6" t="e">
        <f>VLOOKUP(Prep[[#This Row],[Team]],OOWP_Calc[],2,0)</f>
        <v>#DIV/0!</v>
      </c>
      <c r="E129" s="3">
        <f>VLOOKUP(Prep[[#This Row],[Team]],WP_Calc[],2,0)+VLOOKUP(Prep[[#This Row],[Team]],WP_Calc[],3,0)</f>
        <v>0</v>
      </c>
      <c r="F129" s="6" t="e">
        <f>Prep[[#This Row],[WP]]*0.25+Prep[[#This Row],[OWP]]*0.5+Prep[[#This Row],[OOWP]]*0.25</f>
        <v>#VALUE!</v>
      </c>
    </row>
    <row r="130" spans="1:6" x14ac:dyDescent="0.2">
      <c r="A130" t="str">
        <f>WP_Calc[[#This Row],[Team]]</f>
        <v/>
      </c>
      <c r="B130" s="6" t="str">
        <f>VLOOKUP(Prep[[#This Row],[Team]],WP_Calc[],4,0)</f>
        <v/>
      </c>
      <c r="C130" s="6" t="e">
        <f>VLOOKUP(Prep[[#This Row],[Team]],OWP_Calc[],2,0)</f>
        <v>#DIV/0!</v>
      </c>
      <c r="D130" s="6" t="e">
        <f>VLOOKUP(Prep[[#This Row],[Team]],OOWP_Calc[],2,0)</f>
        <v>#DIV/0!</v>
      </c>
      <c r="E130" s="3">
        <f>VLOOKUP(Prep[[#This Row],[Team]],WP_Calc[],2,0)+VLOOKUP(Prep[[#This Row],[Team]],WP_Calc[],3,0)</f>
        <v>0</v>
      </c>
      <c r="F130" s="6" t="e">
        <f>Prep[[#This Row],[WP]]*0.25+Prep[[#This Row],[OWP]]*0.5+Prep[[#This Row],[OOWP]]*0.25</f>
        <v>#VALUE!</v>
      </c>
    </row>
    <row r="131" spans="1:6" x14ac:dyDescent="0.2">
      <c r="A131" t="str">
        <f>WP_Calc[[#This Row],[Team]]</f>
        <v/>
      </c>
      <c r="B131" s="6" t="str">
        <f>VLOOKUP(Prep[[#This Row],[Team]],WP_Calc[],4,0)</f>
        <v/>
      </c>
      <c r="C131" s="6" t="e">
        <f>VLOOKUP(Prep[[#This Row],[Team]],OWP_Calc[],2,0)</f>
        <v>#DIV/0!</v>
      </c>
      <c r="D131" s="6" t="e">
        <f>VLOOKUP(Prep[[#This Row],[Team]],OOWP_Calc[],2,0)</f>
        <v>#DIV/0!</v>
      </c>
      <c r="E131" s="3">
        <f>VLOOKUP(Prep[[#This Row],[Team]],WP_Calc[],2,0)+VLOOKUP(Prep[[#This Row],[Team]],WP_Calc[],3,0)</f>
        <v>0</v>
      </c>
      <c r="F131" s="6" t="e">
        <f>Prep[[#This Row],[WP]]*0.25+Prep[[#This Row],[OWP]]*0.5+Prep[[#This Row],[OOWP]]*0.25</f>
        <v>#VALUE!</v>
      </c>
    </row>
    <row r="132" spans="1:6" x14ac:dyDescent="0.2">
      <c r="A132" t="str">
        <f>WP_Calc[[#This Row],[Team]]</f>
        <v/>
      </c>
      <c r="B132" s="6" t="str">
        <f>VLOOKUP(Prep[[#This Row],[Team]],WP_Calc[],4,0)</f>
        <v/>
      </c>
      <c r="C132" s="6" t="e">
        <f>VLOOKUP(Prep[[#This Row],[Team]],OWP_Calc[],2,0)</f>
        <v>#DIV/0!</v>
      </c>
      <c r="D132" s="6" t="e">
        <f>VLOOKUP(Prep[[#This Row],[Team]],OOWP_Calc[],2,0)</f>
        <v>#DIV/0!</v>
      </c>
      <c r="E132" s="3">
        <f>VLOOKUP(Prep[[#This Row],[Team]],WP_Calc[],2,0)+VLOOKUP(Prep[[#This Row],[Team]],WP_Calc[],3,0)</f>
        <v>0</v>
      </c>
      <c r="F132" s="6" t="e">
        <f>Prep[[#This Row],[WP]]*0.25+Prep[[#This Row],[OWP]]*0.5+Prep[[#This Row],[OOWP]]*0.25</f>
        <v>#VALUE!</v>
      </c>
    </row>
    <row r="133" spans="1:6" x14ac:dyDescent="0.2">
      <c r="A133" t="str">
        <f>WP_Calc[[#This Row],[Team]]</f>
        <v/>
      </c>
      <c r="B133" s="6" t="str">
        <f>VLOOKUP(Prep[[#This Row],[Team]],WP_Calc[],4,0)</f>
        <v/>
      </c>
      <c r="C133" s="6" t="e">
        <f>VLOOKUP(Prep[[#This Row],[Team]],OWP_Calc[],2,0)</f>
        <v>#DIV/0!</v>
      </c>
      <c r="D133" s="6" t="e">
        <f>VLOOKUP(Prep[[#This Row],[Team]],OOWP_Calc[],2,0)</f>
        <v>#DIV/0!</v>
      </c>
      <c r="E133" s="3">
        <f>VLOOKUP(Prep[[#This Row],[Team]],WP_Calc[],2,0)+VLOOKUP(Prep[[#This Row],[Team]],WP_Calc[],3,0)</f>
        <v>0</v>
      </c>
      <c r="F133" s="6" t="e">
        <f>Prep[[#This Row],[WP]]*0.25+Prep[[#This Row],[OWP]]*0.5+Prep[[#This Row],[OOWP]]*0.25</f>
        <v>#VALUE!</v>
      </c>
    </row>
    <row r="134" spans="1:6" x14ac:dyDescent="0.2">
      <c r="A134" t="str">
        <f>WP_Calc[[#This Row],[Team]]</f>
        <v/>
      </c>
      <c r="B134" s="6" t="str">
        <f>VLOOKUP(Prep[[#This Row],[Team]],WP_Calc[],4,0)</f>
        <v/>
      </c>
      <c r="C134" s="6" t="e">
        <f>VLOOKUP(Prep[[#This Row],[Team]],OWP_Calc[],2,0)</f>
        <v>#DIV/0!</v>
      </c>
      <c r="D134" s="6" t="e">
        <f>VLOOKUP(Prep[[#This Row],[Team]],OOWP_Calc[],2,0)</f>
        <v>#DIV/0!</v>
      </c>
      <c r="E134" s="3">
        <f>VLOOKUP(Prep[[#This Row],[Team]],WP_Calc[],2,0)+VLOOKUP(Prep[[#This Row],[Team]],WP_Calc[],3,0)</f>
        <v>0</v>
      </c>
      <c r="F134" s="6" t="e">
        <f>Prep[[#This Row],[WP]]*0.25+Prep[[#This Row],[OWP]]*0.5+Prep[[#This Row],[OOWP]]*0.25</f>
        <v>#VALUE!</v>
      </c>
    </row>
    <row r="135" spans="1:6" x14ac:dyDescent="0.2">
      <c r="A135" t="str">
        <f>WP_Calc[[#This Row],[Team]]</f>
        <v/>
      </c>
      <c r="B135" s="6" t="str">
        <f>VLOOKUP(Prep[[#This Row],[Team]],WP_Calc[],4,0)</f>
        <v/>
      </c>
      <c r="C135" s="6" t="e">
        <f>VLOOKUP(Prep[[#This Row],[Team]],OWP_Calc[],2,0)</f>
        <v>#DIV/0!</v>
      </c>
      <c r="D135" s="6" t="e">
        <f>VLOOKUP(Prep[[#This Row],[Team]],OOWP_Calc[],2,0)</f>
        <v>#DIV/0!</v>
      </c>
      <c r="E135" s="3">
        <f>VLOOKUP(Prep[[#This Row],[Team]],WP_Calc[],2,0)+VLOOKUP(Prep[[#This Row],[Team]],WP_Calc[],3,0)</f>
        <v>0</v>
      </c>
      <c r="F135" s="6" t="e">
        <f>Prep[[#This Row],[WP]]*0.25+Prep[[#This Row],[OWP]]*0.5+Prep[[#This Row],[OOWP]]*0.25</f>
        <v>#VALUE!</v>
      </c>
    </row>
    <row r="136" spans="1:6" x14ac:dyDescent="0.2">
      <c r="A136" t="str">
        <f>WP_Calc[[#This Row],[Team]]</f>
        <v/>
      </c>
      <c r="B136" s="6" t="str">
        <f>VLOOKUP(Prep[[#This Row],[Team]],WP_Calc[],4,0)</f>
        <v/>
      </c>
      <c r="C136" s="6" t="e">
        <f>VLOOKUP(Prep[[#This Row],[Team]],OWP_Calc[],2,0)</f>
        <v>#DIV/0!</v>
      </c>
      <c r="D136" s="6" t="e">
        <f>VLOOKUP(Prep[[#This Row],[Team]],OOWP_Calc[],2,0)</f>
        <v>#DIV/0!</v>
      </c>
      <c r="E136" s="3">
        <f>VLOOKUP(Prep[[#This Row],[Team]],WP_Calc[],2,0)+VLOOKUP(Prep[[#This Row],[Team]],WP_Calc[],3,0)</f>
        <v>0</v>
      </c>
      <c r="F136" s="6" t="e">
        <f>Prep[[#This Row],[WP]]*0.25+Prep[[#This Row],[OWP]]*0.5+Prep[[#This Row],[OOWP]]*0.25</f>
        <v>#VALUE!</v>
      </c>
    </row>
    <row r="137" spans="1:6" x14ac:dyDescent="0.2">
      <c r="A137" t="str">
        <f>WP_Calc[[#This Row],[Team]]</f>
        <v/>
      </c>
      <c r="B137" s="6" t="str">
        <f>VLOOKUP(Prep[[#This Row],[Team]],WP_Calc[],4,0)</f>
        <v/>
      </c>
      <c r="C137" s="6" t="e">
        <f>VLOOKUP(Prep[[#This Row],[Team]],OWP_Calc[],2,0)</f>
        <v>#DIV/0!</v>
      </c>
      <c r="D137" s="6" t="e">
        <f>VLOOKUP(Prep[[#This Row],[Team]],OOWP_Calc[],2,0)</f>
        <v>#DIV/0!</v>
      </c>
      <c r="E137" s="3">
        <f>VLOOKUP(Prep[[#This Row],[Team]],WP_Calc[],2,0)+VLOOKUP(Prep[[#This Row],[Team]],WP_Calc[],3,0)</f>
        <v>0</v>
      </c>
      <c r="F137" s="6" t="e">
        <f>Prep[[#This Row],[WP]]*0.25+Prep[[#This Row],[OWP]]*0.5+Prep[[#This Row],[OOWP]]*0.25</f>
        <v>#VALUE!</v>
      </c>
    </row>
    <row r="138" spans="1:6" x14ac:dyDescent="0.2">
      <c r="A138" t="str">
        <f>WP_Calc[[#This Row],[Team]]</f>
        <v/>
      </c>
      <c r="B138" s="6" t="str">
        <f>VLOOKUP(Prep[[#This Row],[Team]],WP_Calc[],4,0)</f>
        <v/>
      </c>
      <c r="C138" s="6" t="e">
        <f>VLOOKUP(Prep[[#This Row],[Team]],OWP_Calc[],2,0)</f>
        <v>#DIV/0!</v>
      </c>
      <c r="D138" s="6" t="e">
        <f>VLOOKUP(Prep[[#This Row],[Team]],OOWP_Calc[],2,0)</f>
        <v>#DIV/0!</v>
      </c>
      <c r="E138" s="3">
        <f>VLOOKUP(Prep[[#This Row],[Team]],WP_Calc[],2,0)+VLOOKUP(Prep[[#This Row],[Team]],WP_Calc[],3,0)</f>
        <v>0</v>
      </c>
      <c r="F138" s="6" t="e">
        <f>Prep[[#This Row],[WP]]*0.25+Prep[[#This Row],[OWP]]*0.5+Prep[[#This Row],[OOWP]]*0.25</f>
        <v>#VALUE!</v>
      </c>
    </row>
    <row r="139" spans="1:6" x14ac:dyDescent="0.2">
      <c r="A139" t="str">
        <f>WP_Calc[[#This Row],[Team]]</f>
        <v/>
      </c>
      <c r="B139" s="6" t="str">
        <f>VLOOKUP(Prep[[#This Row],[Team]],WP_Calc[],4,0)</f>
        <v/>
      </c>
      <c r="C139" s="6" t="e">
        <f>VLOOKUP(Prep[[#This Row],[Team]],OWP_Calc[],2,0)</f>
        <v>#DIV/0!</v>
      </c>
      <c r="D139" s="6" t="e">
        <f>VLOOKUP(Prep[[#This Row],[Team]],OOWP_Calc[],2,0)</f>
        <v>#DIV/0!</v>
      </c>
      <c r="E139" s="3">
        <f>VLOOKUP(Prep[[#This Row],[Team]],WP_Calc[],2,0)+VLOOKUP(Prep[[#This Row],[Team]],WP_Calc[],3,0)</f>
        <v>0</v>
      </c>
      <c r="F139" s="6" t="e">
        <f>Prep[[#This Row],[WP]]*0.25+Prep[[#This Row],[OWP]]*0.5+Prep[[#This Row],[OOWP]]*0.25</f>
        <v>#VALUE!</v>
      </c>
    </row>
    <row r="140" spans="1:6" x14ac:dyDescent="0.2">
      <c r="A140" t="str">
        <f>WP_Calc[[#This Row],[Team]]</f>
        <v/>
      </c>
      <c r="B140" s="6" t="str">
        <f>VLOOKUP(Prep[[#This Row],[Team]],WP_Calc[],4,0)</f>
        <v/>
      </c>
      <c r="C140" s="6" t="e">
        <f>VLOOKUP(Prep[[#This Row],[Team]],OWP_Calc[],2,0)</f>
        <v>#DIV/0!</v>
      </c>
      <c r="D140" s="6" t="e">
        <f>VLOOKUP(Prep[[#This Row],[Team]],OOWP_Calc[],2,0)</f>
        <v>#DIV/0!</v>
      </c>
      <c r="E140" s="3">
        <f>VLOOKUP(Prep[[#This Row],[Team]],WP_Calc[],2,0)+VLOOKUP(Prep[[#This Row],[Team]],WP_Calc[],3,0)</f>
        <v>0</v>
      </c>
      <c r="F140" s="6" t="e">
        <f>Prep[[#This Row],[WP]]*0.25+Prep[[#This Row],[OWP]]*0.5+Prep[[#This Row],[OOWP]]*0.25</f>
        <v>#VALUE!</v>
      </c>
    </row>
    <row r="141" spans="1:6" x14ac:dyDescent="0.2">
      <c r="A141" t="str">
        <f>WP_Calc[[#This Row],[Team]]</f>
        <v/>
      </c>
      <c r="B141" s="6" t="str">
        <f>VLOOKUP(Prep[[#This Row],[Team]],WP_Calc[],4,0)</f>
        <v/>
      </c>
      <c r="C141" s="6" t="e">
        <f>VLOOKUP(Prep[[#This Row],[Team]],OWP_Calc[],2,0)</f>
        <v>#DIV/0!</v>
      </c>
      <c r="D141" s="6" t="e">
        <f>VLOOKUP(Prep[[#This Row],[Team]],OOWP_Calc[],2,0)</f>
        <v>#DIV/0!</v>
      </c>
      <c r="E141" s="3">
        <f>VLOOKUP(Prep[[#This Row],[Team]],WP_Calc[],2,0)+VLOOKUP(Prep[[#This Row],[Team]],WP_Calc[],3,0)</f>
        <v>0</v>
      </c>
      <c r="F141" s="6" t="e">
        <f>Prep[[#This Row],[WP]]*0.25+Prep[[#This Row],[OWP]]*0.5+Prep[[#This Row],[OOWP]]*0.25</f>
        <v>#VALUE!</v>
      </c>
    </row>
    <row r="142" spans="1:6" x14ac:dyDescent="0.2">
      <c r="A142" t="str">
        <f>WP_Calc[[#This Row],[Team]]</f>
        <v/>
      </c>
      <c r="B142" s="6" t="str">
        <f>VLOOKUP(Prep[[#This Row],[Team]],WP_Calc[],4,0)</f>
        <v/>
      </c>
      <c r="C142" s="6" t="e">
        <f>VLOOKUP(Prep[[#This Row],[Team]],OWP_Calc[],2,0)</f>
        <v>#DIV/0!</v>
      </c>
      <c r="D142" s="6" t="e">
        <f>VLOOKUP(Prep[[#This Row],[Team]],OOWP_Calc[],2,0)</f>
        <v>#DIV/0!</v>
      </c>
      <c r="E142" s="3">
        <f>VLOOKUP(Prep[[#This Row],[Team]],WP_Calc[],2,0)+VLOOKUP(Prep[[#This Row],[Team]],WP_Calc[],3,0)</f>
        <v>0</v>
      </c>
      <c r="F142" s="6" t="e">
        <f>Prep[[#This Row],[WP]]*0.25+Prep[[#This Row],[OWP]]*0.5+Prep[[#This Row],[OOWP]]*0.25</f>
        <v>#VALUE!</v>
      </c>
    </row>
    <row r="143" spans="1:6" x14ac:dyDescent="0.2">
      <c r="A143" t="str">
        <f>WP_Calc[[#This Row],[Team]]</f>
        <v/>
      </c>
      <c r="B143" s="6" t="str">
        <f>VLOOKUP(Prep[[#This Row],[Team]],WP_Calc[],4,0)</f>
        <v/>
      </c>
      <c r="C143" s="6" t="e">
        <f>VLOOKUP(Prep[[#This Row],[Team]],OWP_Calc[],2,0)</f>
        <v>#DIV/0!</v>
      </c>
      <c r="D143" s="6" t="e">
        <f>VLOOKUP(Prep[[#This Row],[Team]],OOWP_Calc[],2,0)</f>
        <v>#DIV/0!</v>
      </c>
      <c r="E143" s="3">
        <f>VLOOKUP(Prep[[#This Row],[Team]],WP_Calc[],2,0)+VLOOKUP(Prep[[#This Row],[Team]],WP_Calc[],3,0)</f>
        <v>0</v>
      </c>
      <c r="F143" s="6" t="e">
        <f>Prep[[#This Row],[WP]]*0.25+Prep[[#This Row],[OWP]]*0.5+Prep[[#This Row],[OOWP]]*0.25</f>
        <v>#VALUE!</v>
      </c>
    </row>
    <row r="144" spans="1:6" x14ac:dyDescent="0.2">
      <c r="A144" t="str">
        <f>WP_Calc[[#This Row],[Team]]</f>
        <v/>
      </c>
      <c r="B144" s="6" t="str">
        <f>VLOOKUP(Prep[[#This Row],[Team]],WP_Calc[],4,0)</f>
        <v/>
      </c>
      <c r="C144" s="6" t="e">
        <f>VLOOKUP(Prep[[#This Row],[Team]],OWP_Calc[],2,0)</f>
        <v>#DIV/0!</v>
      </c>
      <c r="D144" s="6" t="e">
        <f>VLOOKUP(Prep[[#This Row],[Team]],OOWP_Calc[],2,0)</f>
        <v>#DIV/0!</v>
      </c>
      <c r="E144" s="3">
        <f>VLOOKUP(Prep[[#This Row],[Team]],WP_Calc[],2,0)+VLOOKUP(Prep[[#This Row],[Team]],WP_Calc[],3,0)</f>
        <v>0</v>
      </c>
      <c r="F144" s="6" t="e">
        <f>Prep[[#This Row],[WP]]*0.25+Prep[[#This Row],[OWP]]*0.5+Prep[[#This Row],[OOWP]]*0.25</f>
        <v>#VALUE!</v>
      </c>
    </row>
    <row r="145" spans="1:6" x14ac:dyDescent="0.2">
      <c r="A145" t="str">
        <f>WP_Calc[[#This Row],[Team]]</f>
        <v/>
      </c>
      <c r="B145" s="6" t="str">
        <f>VLOOKUP(Prep[[#This Row],[Team]],WP_Calc[],4,0)</f>
        <v/>
      </c>
      <c r="C145" s="6" t="e">
        <f>VLOOKUP(Prep[[#This Row],[Team]],OWP_Calc[],2,0)</f>
        <v>#DIV/0!</v>
      </c>
      <c r="D145" s="6" t="e">
        <f>VLOOKUP(Prep[[#This Row],[Team]],OOWP_Calc[],2,0)</f>
        <v>#DIV/0!</v>
      </c>
      <c r="E145" s="3">
        <f>VLOOKUP(Prep[[#This Row],[Team]],WP_Calc[],2,0)+VLOOKUP(Prep[[#This Row],[Team]],WP_Calc[],3,0)</f>
        <v>0</v>
      </c>
      <c r="F145" s="6" t="e">
        <f>Prep[[#This Row],[WP]]*0.25+Prep[[#This Row],[OWP]]*0.5+Prep[[#This Row],[OOWP]]*0.25</f>
        <v>#VALUE!</v>
      </c>
    </row>
    <row r="146" spans="1:6" x14ac:dyDescent="0.2">
      <c r="A146" t="str">
        <f>WP_Calc[[#This Row],[Team]]</f>
        <v/>
      </c>
      <c r="B146" s="6" t="str">
        <f>VLOOKUP(Prep[[#This Row],[Team]],WP_Calc[],4,0)</f>
        <v/>
      </c>
      <c r="C146" s="6" t="e">
        <f>VLOOKUP(Prep[[#This Row],[Team]],OWP_Calc[],2,0)</f>
        <v>#DIV/0!</v>
      </c>
      <c r="D146" s="6" t="e">
        <f>VLOOKUP(Prep[[#This Row],[Team]],OOWP_Calc[],2,0)</f>
        <v>#DIV/0!</v>
      </c>
      <c r="E146" s="3">
        <f>VLOOKUP(Prep[[#This Row],[Team]],WP_Calc[],2,0)+VLOOKUP(Prep[[#This Row],[Team]],WP_Calc[],3,0)</f>
        <v>0</v>
      </c>
      <c r="F146" s="6" t="e">
        <f>Prep[[#This Row],[WP]]*0.25+Prep[[#This Row],[OWP]]*0.5+Prep[[#This Row],[OOWP]]*0.25</f>
        <v>#VALUE!</v>
      </c>
    </row>
    <row r="147" spans="1:6" x14ac:dyDescent="0.2">
      <c r="A147" t="str">
        <f>WP_Calc[[#This Row],[Team]]</f>
        <v/>
      </c>
      <c r="B147" s="6" t="str">
        <f>VLOOKUP(Prep[[#This Row],[Team]],WP_Calc[],4,0)</f>
        <v/>
      </c>
      <c r="C147" s="6" t="e">
        <f>VLOOKUP(Prep[[#This Row],[Team]],OWP_Calc[],2,0)</f>
        <v>#DIV/0!</v>
      </c>
      <c r="D147" s="6" t="e">
        <f>VLOOKUP(Prep[[#This Row],[Team]],OOWP_Calc[],2,0)</f>
        <v>#DIV/0!</v>
      </c>
      <c r="E147" s="3">
        <f>VLOOKUP(Prep[[#This Row],[Team]],WP_Calc[],2,0)+VLOOKUP(Prep[[#This Row],[Team]],WP_Calc[],3,0)</f>
        <v>0</v>
      </c>
      <c r="F147" s="6" t="e">
        <f>Prep[[#This Row],[WP]]*0.25+Prep[[#This Row],[OWP]]*0.5+Prep[[#This Row],[OOWP]]*0.25</f>
        <v>#VALUE!</v>
      </c>
    </row>
    <row r="148" spans="1:6" x14ac:dyDescent="0.2">
      <c r="A148" t="str">
        <f>WP_Calc[[#This Row],[Team]]</f>
        <v/>
      </c>
      <c r="B148" s="6" t="str">
        <f>VLOOKUP(Prep[[#This Row],[Team]],WP_Calc[],4,0)</f>
        <v/>
      </c>
      <c r="C148" s="6" t="e">
        <f>VLOOKUP(Prep[[#This Row],[Team]],OWP_Calc[],2,0)</f>
        <v>#DIV/0!</v>
      </c>
      <c r="D148" s="6" t="e">
        <f>VLOOKUP(Prep[[#This Row],[Team]],OOWP_Calc[],2,0)</f>
        <v>#DIV/0!</v>
      </c>
      <c r="E148" s="3">
        <f>VLOOKUP(Prep[[#This Row],[Team]],WP_Calc[],2,0)+VLOOKUP(Prep[[#This Row],[Team]],WP_Calc[],3,0)</f>
        <v>0</v>
      </c>
      <c r="F148" s="6" t="e">
        <f>Prep[[#This Row],[WP]]*0.25+Prep[[#This Row],[OWP]]*0.5+Prep[[#This Row],[OOWP]]*0.25</f>
        <v>#VALUE!</v>
      </c>
    </row>
    <row r="149" spans="1:6" x14ac:dyDescent="0.2">
      <c r="A149" t="str">
        <f>WP_Calc[[#This Row],[Team]]</f>
        <v/>
      </c>
      <c r="B149" s="6" t="str">
        <f>VLOOKUP(Prep[[#This Row],[Team]],WP_Calc[],4,0)</f>
        <v/>
      </c>
      <c r="C149" s="6" t="e">
        <f>VLOOKUP(Prep[[#This Row],[Team]],OWP_Calc[],2,0)</f>
        <v>#DIV/0!</v>
      </c>
      <c r="D149" s="6" t="e">
        <f>VLOOKUP(Prep[[#This Row],[Team]],OOWP_Calc[],2,0)</f>
        <v>#DIV/0!</v>
      </c>
      <c r="E149" s="3">
        <f>VLOOKUP(Prep[[#This Row],[Team]],WP_Calc[],2,0)+VLOOKUP(Prep[[#This Row],[Team]],WP_Calc[],3,0)</f>
        <v>0</v>
      </c>
      <c r="F149" s="6" t="e">
        <f>Prep[[#This Row],[WP]]*0.25+Prep[[#This Row],[OWP]]*0.5+Prep[[#This Row],[OOWP]]*0.25</f>
        <v>#VALUE!</v>
      </c>
    </row>
    <row r="150" spans="1:6" x14ac:dyDescent="0.2">
      <c r="A150" t="str">
        <f>WP_Calc[[#This Row],[Team]]</f>
        <v/>
      </c>
      <c r="B150" s="6" t="str">
        <f>VLOOKUP(Prep[[#This Row],[Team]],WP_Calc[],4,0)</f>
        <v/>
      </c>
      <c r="C150" s="6" t="e">
        <f>VLOOKUP(Prep[[#This Row],[Team]],OWP_Calc[],2,0)</f>
        <v>#DIV/0!</v>
      </c>
      <c r="D150" s="6" t="e">
        <f>VLOOKUP(Prep[[#This Row],[Team]],OOWP_Calc[],2,0)</f>
        <v>#DIV/0!</v>
      </c>
      <c r="E150" s="3">
        <f>VLOOKUP(Prep[[#This Row],[Team]],WP_Calc[],2,0)+VLOOKUP(Prep[[#This Row],[Team]],WP_Calc[],3,0)</f>
        <v>0</v>
      </c>
      <c r="F150" s="6" t="e">
        <f>Prep[[#This Row],[WP]]*0.25+Prep[[#This Row],[OWP]]*0.5+Prep[[#This Row],[OOWP]]*0.25</f>
        <v>#VALUE!</v>
      </c>
    </row>
    <row r="151" spans="1:6" x14ac:dyDescent="0.2">
      <c r="A151" t="str">
        <f>WP_Calc[[#This Row],[Team]]</f>
        <v/>
      </c>
      <c r="B151" s="6" t="str">
        <f>VLOOKUP(Prep[[#This Row],[Team]],WP_Calc[],4,0)</f>
        <v/>
      </c>
      <c r="C151" s="6" t="e">
        <f>VLOOKUP(Prep[[#This Row],[Team]],OWP_Calc[],2,0)</f>
        <v>#DIV/0!</v>
      </c>
      <c r="D151" s="6" t="e">
        <f>VLOOKUP(Prep[[#This Row],[Team]],OOWP_Calc[],2,0)</f>
        <v>#DIV/0!</v>
      </c>
      <c r="E151" s="3">
        <f>VLOOKUP(Prep[[#This Row],[Team]],WP_Calc[],2,0)+VLOOKUP(Prep[[#This Row],[Team]],WP_Calc[],3,0)</f>
        <v>0</v>
      </c>
      <c r="F151" s="6" t="e">
        <f>Prep[[#This Row],[WP]]*0.25+Prep[[#This Row],[OWP]]*0.5+Prep[[#This Row],[OOWP]]*0.25</f>
        <v>#VALUE!</v>
      </c>
    </row>
    <row r="152" spans="1:6" x14ac:dyDescent="0.2">
      <c r="A152" t="str">
        <f>WP_Calc[[#This Row],[Team]]</f>
        <v/>
      </c>
      <c r="B152" s="6" t="str">
        <f>VLOOKUP(Prep[[#This Row],[Team]],WP_Calc[],4,0)</f>
        <v/>
      </c>
      <c r="C152" s="6" t="e">
        <f>VLOOKUP(Prep[[#This Row],[Team]],OWP_Calc[],2,0)</f>
        <v>#DIV/0!</v>
      </c>
      <c r="D152" s="6" t="e">
        <f>VLOOKUP(Prep[[#This Row],[Team]],OOWP_Calc[],2,0)</f>
        <v>#DIV/0!</v>
      </c>
      <c r="E152" s="3">
        <f>VLOOKUP(Prep[[#This Row],[Team]],WP_Calc[],2,0)+VLOOKUP(Prep[[#This Row],[Team]],WP_Calc[],3,0)</f>
        <v>0</v>
      </c>
      <c r="F152" s="6" t="e">
        <f>Prep[[#This Row],[WP]]*0.25+Prep[[#This Row],[OWP]]*0.5+Prep[[#This Row],[OOWP]]*0.25</f>
        <v>#VALUE!</v>
      </c>
    </row>
    <row r="153" spans="1:6" x14ac:dyDescent="0.2">
      <c r="A153" t="str">
        <f>WP_Calc[[#This Row],[Team]]</f>
        <v/>
      </c>
      <c r="B153" s="6" t="str">
        <f>VLOOKUP(Prep[[#This Row],[Team]],WP_Calc[],4,0)</f>
        <v/>
      </c>
      <c r="C153" s="6" t="e">
        <f>VLOOKUP(Prep[[#This Row],[Team]],OWP_Calc[],2,0)</f>
        <v>#DIV/0!</v>
      </c>
      <c r="D153" s="6" t="e">
        <f>VLOOKUP(Prep[[#This Row],[Team]],OOWP_Calc[],2,0)</f>
        <v>#DIV/0!</v>
      </c>
      <c r="E153" s="3">
        <f>VLOOKUP(Prep[[#This Row],[Team]],WP_Calc[],2,0)+VLOOKUP(Prep[[#This Row],[Team]],WP_Calc[],3,0)</f>
        <v>0</v>
      </c>
      <c r="F153" s="6" t="e">
        <f>Prep[[#This Row],[WP]]*0.25+Prep[[#This Row],[OWP]]*0.5+Prep[[#This Row],[OOWP]]*0.25</f>
        <v>#VALUE!</v>
      </c>
    </row>
    <row r="154" spans="1:6" x14ac:dyDescent="0.2">
      <c r="A154" t="str">
        <f>WP_Calc[[#This Row],[Team]]</f>
        <v/>
      </c>
      <c r="B154" s="6" t="str">
        <f>VLOOKUP(Prep[[#This Row],[Team]],WP_Calc[],4,0)</f>
        <v/>
      </c>
      <c r="C154" s="6" t="e">
        <f>VLOOKUP(Prep[[#This Row],[Team]],OWP_Calc[],2,0)</f>
        <v>#DIV/0!</v>
      </c>
      <c r="D154" s="6" t="e">
        <f>VLOOKUP(Prep[[#This Row],[Team]],OOWP_Calc[],2,0)</f>
        <v>#DIV/0!</v>
      </c>
      <c r="E154" s="3">
        <f>VLOOKUP(Prep[[#This Row],[Team]],WP_Calc[],2,0)+VLOOKUP(Prep[[#This Row],[Team]],WP_Calc[],3,0)</f>
        <v>0</v>
      </c>
      <c r="F154" s="6" t="e">
        <f>Prep[[#This Row],[WP]]*0.25+Prep[[#This Row],[OWP]]*0.5+Prep[[#This Row],[OOWP]]*0.25</f>
        <v>#VALUE!</v>
      </c>
    </row>
    <row r="155" spans="1:6" x14ac:dyDescent="0.2">
      <c r="A155" t="str">
        <f>WP_Calc[[#This Row],[Team]]</f>
        <v/>
      </c>
      <c r="B155" s="6" t="str">
        <f>VLOOKUP(Prep[[#This Row],[Team]],WP_Calc[],4,0)</f>
        <v/>
      </c>
      <c r="C155" s="6" t="e">
        <f>VLOOKUP(Prep[[#This Row],[Team]],OWP_Calc[],2,0)</f>
        <v>#DIV/0!</v>
      </c>
      <c r="D155" s="6" t="e">
        <f>VLOOKUP(Prep[[#This Row],[Team]],OOWP_Calc[],2,0)</f>
        <v>#DIV/0!</v>
      </c>
      <c r="E155" s="3">
        <f>VLOOKUP(Prep[[#This Row],[Team]],WP_Calc[],2,0)+VLOOKUP(Prep[[#This Row],[Team]],WP_Calc[],3,0)</f>
        <v>0</v>
      </c>
      <c r="F155" s="6" t="e">
        <f>Prep[[#This Row],[WP]]*0.25+Prep[[#This Row],[OWP]]*0.5+Prep[[#This Row],[OOWP]]*0.25</f>
        <v>#VALUE!</v>
      </c>
    </row>
    <row r="156" spans="1:6" x14ac:dyDescent="0.2">
      <c r="A156" t="str">
        <f>WP_Calc[[#This Row],[Team]]</f>
        <v/>
      </c>
      <c r="B156" s="6" t="str">
        <f>VLOOKUP(Prep[[#This Row],[Team]],WP_Calc[],4,0)</f>
        <v/>
      </c>
      <c r="C156" s="6" t="e">
        <f>VLOOKUP(Prep[[#This Row],[Team]],OWP_Calc[],2,0)</f>
        <v>#DIV/0!</v>
      </c>
      <c r="D156" s="6" t="e">
        <f>VLOOKUP(Prep[[#This Row],[Team]],OOWP_Calc[],2,0)</f>
        <v>#DIV/0!</v>
      </c>
      <c r="E156" s="3">
        <f>VLOOKUP(Prep[[#This Row],[Team]],WP_Calc[],2,0)+VLOOKUP(Prep[[#This Row],[Team]],WP_Calc[],3,0)</f>
        <v>0</v>
      </c>
      <c r="F156" s="6" t="e">
        <f>Prep[[#This Row],[WP]]*0.25+Prep[[#This Row],[OWP]]*0.5+Prep[[#This Row],[OOWP]]*0.25</f>
        <v>#VALUE!</v>
      </c>
    </row>
    <row r="157" spans="1:6" x14ac:dyDescent="0.2">
      <c r="A157" t="str">
        <f>WP_Calc[[#This Row],[Team]]</f>
        <v/>
      </c>
      <c r="B157" s="6" t="str">
        <f>VLOOKUP(Prep[[#This Row],[Team]],WP_Calc[],4,0)</f>
        <v/>
      </c>
      <c r="C157" s="6" t="e">
        <f>VLOOKUP(Prep[[#This Row],[Team]],OWP_Calc[],2,0)</f>
        <v>#DIV/0!</v>
      </c>
      <c r="D157" s="6" t="e">
        <f>VLOOKUP(Prep[[#This Row],[Team]],OOWP_Calc[],2,0)</f>
        <v>#DIV/0!</v>
      </c>
      <c r="E157" s="3">
        <f>VLOOKUP(Prep[[#This Row],[Team]],WP_Calc[],2,0)+VLOOKUP(Prep[[#This Row],[Team]],WP_Calc[],3,0)</f>
        <v>0</v>
      </c>
      <c r="F157" s="6" t="e">
        <f>Prep[[#This Row],[WP]]*0.25+Prep[[#This Row],[OWP]]*0.5+Prep[[#This Row],[OOWP]]*0.25</f>
        <v>#VALUE!</v>
      </c>
    </row>
    <row r="158" spans="1:6" x14ac:dyDescent="0.2">
      <c r="A158" t="str">
        <f>WP_Calc[[#This Row],[Team]]</f>
        <v/>
      </c>
      <c r="B158" s="6" t="str">
        <f>VLOOKUP(Prep[[#This Row],[Team]],WP_Calc[],4,0)</f>
        <v/>
      </c>
      <c r="C158" s="6" t="e">
        <f>VLOOKUP(Prep[[#This Row],[Team]],OWP_Calc[],2,0)</f>
        <v>#DIV/0!</v>
      </c>
      <c r="D158" s="6" t="e">
        <f>VLOOKUP(Prep[[#This Row],[Team]],OOWP_Calc[],2,0)</f>
        <v>#DIV/0!</v>
      </c>
      <c r="E158" s="3">
        <f>VLOOKUP(Prep[[#This Row],[Team]],WP_Calc[],2,0)+VLOOKUP(Prep[[#This Row],[Team]],WP_Calc[],3,0)</f>
        <v>0</v>
      </c>
      <c r="F158" s="6" t="e">
        <f>Prep[[#This Row],[WP]]*0.25+Prep[[#This Row],[OWP]]*0.5+Prep[[#This Row],[OOWP]]*0.25</f>
        <v>#VALUE!</v>
      </c>
    </row>
    <row r="159" spans="1:6" x14ac:dyDescent="0.2">
      <c r="A159" t="str">
        <f>WP_Calc[[#This Row],[Team]]</f>
        <v/>
      </c>
      <c r="B159" s="6" t="str">
        <f>VLOOKUP(Prep[[#This Row],[Team]],WP_Calc[],4,0)</f>
        <v/>
      </c>
      <c r="C159" s="6" t="e">
        <f>VLOOKUP(Prep[[#This Row],[Team]],OWP_Calc[],2,0)</f>
        <v>#DIV/0!</v>
      </c>
      <c r="D159" s="6" t="e">
        <f>VLOOKUP(Prep[[#This Row],[Team]],OOWP_Calc[],2,0)</f>
        <v>#DIV/0!</v>
      </c>
      <c r="E159" s="3">
        <f>VLOOKUP(Prep[[#This Row],[Team]],WP_Calc[],2,0)+VLOOKUP(Prep[[#This Row],[Team]],WP_Calc[],3,0)</f>
        <v>0</v>
      </c>
      <c r="F159" s="6" t="e">
        <f>Prep[[#This Row],[WP]]*0.25+Prep[[#This Row],[OWP]]*0.5+Prep[[#This Row],[OOWP]]*0.25</f>
        <v>#VALUE!</v>
      </c>
    </row>
    <row r="160" spans="1:6" x14ac:dyDescent="0.2">
      <c r="A160" t="str">
        <f>WP_Calc[[#This Row],[Team]]</f>
        <v/>
      </c>
      <c r="B160" s="6" t="str">
        <f>VLOOKUP(Prep[[#This Row],[Team]],WP_Calc[],4,0)</f>
        <v/>
      </c>
      <c r="C160" s="6" t="e">
        <f>VLOOKUP(Prep[[#This Row],[Team]],OWP_Calc[],2,0)</f>
        <v>#DIV/0!</v>
      </c>
      <c r="D160" s="6" t="e">
        <f>VLOOKUP(Prep[[#This Row],[Team]],OOWP_Calc[],2,0)</f>
        <v>#DIV/0!</v>
      </c>
      <c r="E160" s="3">
        <f>VLOOKUP(Prep[[#This Row],[Team]],WP_Calc[],2,0)+VLOOKUP(Prep[[#This Row],[Team]],WP_Calc[],3,0)</f>
        <v>0</v>
      </c>
      <c r="F160" s="6" t="e">
        <f>Prep[[#This Row],[WP]]*0.25+Prep[[#This Row],[OWP]]*0.5+Prep[[#This Row],[OOWP]]*0.25</f>
        <v>#VALUE!</v>
      </c>
    </row>
    <row r="161" spans="1:6" x14ac:dyDescent="0.2">
      <c r="A161" t="str">
        <f>WP_Calc[[#This Row],[Team]]</f>
        <v/>
      </c>
      <c r="B161" s="6" t="str">
        <f>VLOOKUP(Prep[[#This Row],[Team]],WP_Calc[],4,0)</f>
        <v/>
      </c>
      <c r="C161" s="6" t="e">
        <f>VLOOKUP(Prep[[#This Row],[Team]],OWP_Calc[],2,0)</f>
        <v>#DIV/0!</v>
      </c>
      <c r="D161" s="6" t="e">
        <f>VLOOKUP(Prep[[#This Row],[Team]],OOWP_Calc[],2,0)</f>
        <v>#DIV/0!</v>
      </c>
      <c r="E161" s="3">
        <f>VLOOKUP(Prep[[#This Row],[Team]],WP_Calc[],2,0)+VLOOKUP(Prep[[#This Row],[Team]],WP_Calc[],3,0)</f>
        <v>0</v>
      </c>
      <c r="F161" s="6" t="e">
        <f>Prep[[#This Row],[WP]]*0.25+Prep[[#This Row],[OWP]]*0.5+Prep[[#This Row],[OOWP]]*0.25</f>
        <v>#VALUE!</v>
      </c>
    </row>
    <row r="162" spans="1:6" x14ac:dyDescent="0.2">
      <c r="A162" t="str">
        <f>WP_Calc[[#This Row],[Team]]</f>
        <v/>
      </c>
      <c r="B162" s="6" t="str">
        <f>VLOOKUP(Prep[[#This Row],[Team]],WP_Calc[],4,0)</f>
        <v/>
      </c>
      <c r="C162" s="6" t="e">
        <f>VLOOKUP(Prep[[#This Row],[Team]],OWP_Calc[],2,0)</f>
        <v>#DIV/0!</v>
      </c>
      <c r="D162" s="6" t="e">
        <f>VLOOKUP(Prep[[#This Row],[Team]],OOWP_Calc[],2,0)</f>
        <v>#DIV/0!</v>
      </c>
      <c r="E162" s="3">
        <f>VLOOKUP(Prep[[#This Row],[Team]],WP_Calc[],2,0)+VLOOKUP(Prep[[#This Row],[Team]],WP_Calc[],3,0)</f>
        <v>0</v>
      </c>
      <c r="F162" s="6" t="e">
        <f>Prep[[#This Row],[WP]]*0.25+Prep[[#This Row],[OWP]]*0.5+Prep[[#This Row],[OOWP]]*0.25</f>
        <v>#VALUE!</v>
      </c>
    </row>
    <row r="163" spans="1:6" x14ac:dyDescent="0.2">
      <c r="A163" t="str">
        <f>WP_Calc[[#This Row],[Team]]</f>
        <v/>
      </c>
      <c r="B163" s="6" t="str">
        <f>VLOOKUP(Prep[[#This Row],[Team]],WP_Calc[],4,0)</f>
        <v/>
      </c>
      <c r="C163" s="6" t="e">
        <f>VLOOKUP(Prep[[#This Row],[Team]],OWP_Calc[],2,0)</f>
        <v>#DIV/0!</v>
      </c>
      <c r="D163" s="6" t="e">
        <f>VLOOKUP(Prep[[#This Row],[Team]],OOWP_Calc[],2,0)</f>
        <v>#DIV/0!</v>
      </c>
      <c r="E163" s="3">
        <f>VLOOKUP(Prep[[#This Row],[Team]],WP_Calc[],2,0)+VLOOKUP(Prep[[#This Row],[Team]],WP_Calc[],3,0)</f>
        <v>0</v>
      </c>
      <c r="F163" s="6" t="e">
        <f>Prep[[#This Row],[WP]]*0.25+Prep[[#This Row],[OWP]]*0.5+Prep[[#This Row],[OOWP]]*0.25</f>
        <v>#VALUE!</v>
      </c>
    </row>
    <row r="164" spans="1:6" x14ac:dyDescent="0.2">
      <c r="A164" t="str">
        <f>WP_Calc[[#This Row],[Team]]</f>
        <v/>
      </c>
      <c r="B164" s="6" t="str">
        <f>VLOOKUP(Prep[[#This Row],[Team]],WP_Calc[],4,0)</f>
        <v/>
      </c>
      <c r="C164" s="6" t="e">
        <f>VLOOKUP(Prep[[#This Row],[Team]],OWP_Calc[],2,0)</f>
        <v>#DIV/0!</v>
      </c>
      <c r="D164" s="6" t="e">
        <f>VLOOKUP(Prep[[#This Row],[Team]],OOWP_Calc[],2,0)</f>
        <v>#DIV/0!</v>
      </c>
      <c r="E164" s="3">
        <f>VLOOKUP(Prep[[#This Row],[Team]],WP_Calc[],2,0)+VLOOKUP(Prep[[#This Row],[Team]],WP_Calc[],3,0)</f>
        <v>0</v>
      </c>
      <c r="F164" s="6" t="e">
        <f>Prep[[#This Row],[WP]]*0.25+Prep[[#This Row],[OWP]]*0.5+Prep[[#This Row],[OOWP]]*0.25</f>
        <v>#VALUE!</v>
      </c>
    </row>
    <row r="165" spans="1:6" x14ac:dyDescent="0.2">
      <c r="A165" t="str">
        <f>WP_Calc[[#This Row],[Team]]</f>
        <v/>
      </c>
      <c r="B165" s="6" t="str">
        <f>VLOOKUP(Prep[[#This Row],[Team]],WP_Calc[],4,0)</f>
        <v/>
      </c>
      <c r="C165" s="6" t="e">
        <f>VLOOKUP(Prep[[#This Row],[Team]],OWP_Calc[],2,0)</f>
        <v>#DIV/0!</v>
      </c>
      <c r="D165" s="6" t="e">
        <f>VLOOKUP(Prep[[#This Row],[Team]],OOWP_Calc[],2,0)</f>
        <v>#DIV/0!</v>
      </c>
      <c r="E165" s="3">
        <f>VLOOKUP(Prep[[#This Row],[Team]],WP_Calc[],2,0)+VLOOKUP(Prep[[#This Row],[Team]],WP_Calc[],3,0)</f>
        <v>0</v>
      </c>
      <c r="F165" s="6" t="e">
        <f>Prep[[#This Row],[WP]]*0.25+Prep[[#This Row],[OWP]]*0.5+Prep[[#This Row],[OOWP]]*0.25</f>
        <v>#VALUE!</v>
      </c>
    </row>
    <row r="166" spans="1:6" x14ac:dyDescent="0.2">
      <c r="A166" t="str">
        <f>WP_Calc[[#This Row],[Team]]</f>
        <v/>
      </c>
      <c r="B166" s="6" t="str">
        <f>VLOOKUP(Prep[[#This Row],[Team]],WP_Calc[],4,0)</f>
        <v/>
      </c>
      <c r="C166" s="6" t="e">
        <f>VLOOKUP(Prep[[#This Row],[Team]],OWP_Calc[],2,0)</f>
        <v>#DIV/0!</v>
      </c>
      <c r="D166" s="6" t="e">
        <f>VLOOKUP(Prep[[#This Row],[Team]],OOWP_Calc[],2,0)</f>
        <v>#DIV/0!</v>
      </c>
      <c r="E166" s="3">
        <f>VLOOKUP(Prep[[#This Row],[Team]],WP_Calc[],2,0)+VLOOKUP(Prep[[#This Row],[Team]],WP_Calc[],3,0)</f>
        <v>0</v>
      </c>
      <c r="F166" s="6" t="e">
        <f>Prep[[#This Row],[WP]]*0.25+Prep[[#This Row],[OWP]]*0.5+Prep[[#This Row],[OOWP]]*0.25</f>
        <v>#VALUE!</v>
      </c>
    </row>
    <row r="167" spans="1:6" x14ac:dyDescent="0.2">
      <c r="A167" t="str">
        <f>WP_Calc[[#This Row],[Team]]</f>
        <v/>
      </c>
      <c r="B167" s="6" t="str">
        <f>VLOOKUP(Prep[[#This Row],[Team]],WP_Calc[],4,0)</f>
        <v/>
      </c>
      <c r="C167" s="6" t="e">
        <f>VLOOKUP(Prep[[#This Row],[Team]],OWP_Calc[],2,0)</f>
        <v>#DIV/0!</v>
      </c>
      <c r="D167" s="6" t="e">
        <f>VLOOKUP(Prep[[#This Row],[Team]],OOWP_Calc[],2,0)</f>
        <v>#DIV/0!</v>
      </c>
      <c r="E167" s="3">
        <f>VLOOKUP(Prep[[#This Row],[Team]],WP_Calc[],2,0)+VLOOKUP(Prep[[#This Row],[Team]],WP_Calc[],3,0)</f>
        <v>0</v>
      </c>
      <c r="F167" s="6" t="e">
        <f>Prep[[#This Row],[WP]]*0.25+Prep[[#This Row],[OWP]]*0.5+Prep[[#This Row],[OOWP]]*0.25</f>
        <v>#VALUE!</v>
      </c>
    </row>
    <row r="168" spans="1:6" x14ac:dyDescent="0.2">
      <c r="A168" t="str">
        <f>WP_Calc[[#This Row],[Team]]</f>
        <v/>
      </c>
      <c r="B168" s="6" t="str">
        <f>VLOOKUP(Prep[[#This Row],[Team]],WP_Calc[],4,0)</f>
        <v/>
      </c>
      <c r="C168" s="6" t="e">
        <f>VLOOKUP(Prep[[#This Row],[Team]],OWP_Calc[],2,0)</f>
        <v>#DIV/0!</v>
      </c>
      <c r="D168" s="6" t="e">
        <f>VLOOKUP(Prep[[#This Row],[Team]],OOWP_Calc[],2,0)</f>
        <v>#DIV/0!</v>
      </c>
      <c r="E168" s="3">
        <f>VLOOKUP(Prep[[#This Row],[Team]],WP_Calc[],2,0)+VLOOKUP(Prep[[#This Row],[Team]],WP_Calc[],3,0)</f>
        <v>0</v>
      </c>
      <c r="F168" s="6" t="e">
        <f>Prep[[#This Row],[WP]]*0.25+Prep[[#This Row],[OWP]]*0.5+Prep[[#This Row],[OOWP]]*0.25</f>
        <v>#VALUE!</v>
      </c>
    </row>
    <row r="169" spans="1:6" x14ac:dyDescent="0.2">
      <c r="A169" t="str">
        <f>WP_Calc[[#This Row],[Team]]</f>
        <v/>
      </c>
      <c r="B169" s="6" t="str">
        <f>VLOOKUP(Prep[[#This Row],[Team]],WP_Calc[],4,0)</f>
        <v/>
      </c>
      <c r="C169" s="6" t="e">
        <f>VLOOKUP(Prep[[#This Row],[Team]],OWP_Calc[],2,0)</f>
        <v>#DIV/0!</v>
      </c>
      <c r="D169" s="6" t="e">
        <f>VLOOKUP(Prep[[#This Row],[Team]],OOWP_Calc[],2,0)</f>
        <v>#DIV/0!</v>
      </c>
      <c r="E169" s="3">
        <f>VLOOKUP(Prep[[#This Row],[Team]],WP_Calc[],2,0)+VLOOKUP(Prep[[#This Row],[Team]],WP_Calc[],3,0)</f>
        <v>0</v>
      </c>
      <c r="F169" s="6" t="e">
        <f>Prep[[#This Row],[WP]]*0.25+Prep[[#This Row],[OWP]]*0.5+Prep[[#This Row],[OOWP]]*0.25</f>
        <v>#VALUE!</v>
      </c>
    </row>
    <row r="170" spans="1:6" x14ac:dyDescent="0.2">
      <c r="A170" t="str">
        <f>WP_Calc[[#This Row],[Team]]</f>
        <v/>
      </c>
      <c r="B170" s="6" t="str">
        <f>VLOOKUP(Prep[[#This Row],[Team]],WP_Calc[],4,0)</f>
        <v/>
      </c>
      <c r="C170" s="6" t="e">
        <f>VLOOKUP(Prep[[#This Row],[Team]],OWP_Calc[],2,0)</f>
        <v>#DIV/0!</v>
      </c>
      <c r="D170" s="6" t="e">
        <f>VLOOKUP(Prep[[#This Row],[Team]],OOWP_Calc[],2,0)</f>
        <v>#DIV/0!</v>
      </c>
      <c r="E170" s="3">
        <f>VLOOKUP(Prep[[#This Row],[Team]],WP_Calc[],2,0)+VLOOKUP(Prep[[#This Row],[Team]],WP_Calc[],3,0)</f>
        <v>0</v>
      </c>
      <c r="F170" s="6" t="e">
        <f>Prep[[#This Row],[WP]]*0.25+Prep[[#This Row],[OWP]]*0.5+Prep[[#This Row],[OOWP]]*0.25</f>
        <v>#VALUE!</v>
      </c>
    </row>
    <row r="171" spans="1:6" x14ac:dyDescent="0.2">
      <c r="A171" t="str">
        <f>WP_Calc[[#This Row],[Team]]</f>
        <v/>
      </c>
      <c r="B171" s="6" t="str">
        <f>VLOOKUP(Prep[[#This Row],[Team]],WP_Calc[],4,0)</f>
        <v/>
      </c>
      <c r="C171" s="6" t="e">
        <f>VLOOKUP(Prep[[#This Row],[Team]],OWP_Calc[],2,0)</f>
        <v>#DIV/0!</v>
      </c>
      <c r="D171" s="6" t="e">
        <f>VLOOKUP(Prep[[#This Row],[Team]],OOWP_Calc[],2,0)</f>
        <v>#DIV/0!</v>
      </c>
      <c r="E171" s="3">
        <f>VLOOKUP(Prep[[#This Row],[Team]],WP_Calc[],2,0)+VLOOKUP(Prep[[#This Row],[Team]],WP_Calc[],3,0)</f>
        <v>0</v>
      </c>
      <c r="F171" s="6" t="e">
        <f>Prep[[#This Row],[WP]]*0.25+Prep[[#This Row],[OWP]]*0.5+Prep[[#This Row],[OOWP]]*0.25</f>
        <v>#VALUE!</v>
      </c>
    </row>
    <row r="172" spans="1:6" x14ac:dyDescent="0.2">
      <c r="A172" t="str">
        <f>WP_Calc[[#This Row],[Team]]</f>
        <v/>
      </c>
      <c r="B172" s="6" t="str">
        <f>VLOOKUP(Prep[[#This Row],[Team]],WP_Calc[],4,0)</f>
        <v/>
      </c>
      <c r="C172" s="6" t="e">
        <f>VLOOKUP(Prep[[#This Row],[Team]],OWP_Calc[],2,0)</f>
        <v>#DIV/0!</v>
      </c>
      <c r="D172" s="6" t="e">
        <f>VLOOKUP(Prep[[#This Row],[Team]],OOWP_Calc[],2,0)</f>
        <v>#DIV/0!</v>
      </c>
      <c r="E172" s="3">
        <f>VLOOKUP(Prep[[#This Row],[Team]],WP_Calc[],2,0)+VLOOKUP(Prep[[#This Row],[Team]],WP_Calc[],3,0)</f>
        <v>0</v>
      </c>
      <c r="F172" s="6" t="e">
        <f>Prep[[#This Row],[WP]]*0.25+Prep[[#This Row],[OWP]]*0.5+Prep[[#This Row],[OOWP]]*0.25</f>
        <v>#VALUE!</v>
      </c>
    </row>
    <row r="173" spans="1:6" x14ac:dyDescent="0.2">
      <c r="A173" t="str">
        <f>WP_Calc[[#This Row],[Team]]</f>
        <v/>
      </c>
      <c r="B173" s="6" t="str">
        <f>VLOOKUP(Prep[[#This Row],[Team]],WP_Calc[],4,0)</f>
        <v/>
      </c>
      <c r="C173" s="6" t="e">
        <f>VLOOKUP(Prep[[#This Row],[Team]],OWP_Calc[],2,0)</f>
        <v>#DIV/0!</v>
      </c>
      <c r="D173" s="6" t="e">
        <f>VLOOKUP(Prep[[#This Row],[Team]],OOWP_Calc[],2,0)</f>
        <v>#DIV/0!</v>
      </c>
      <c r="E173" s="3">
        <f>VLOOKUP(Prep[[#This Row],[Team]],WP_Calc[],2,0)+VLOOKUP(Prep[[#This Row],[Team]],WP_Calc[],3,0)</f>
        <v>0</v>
      </c>
      <c r="F173" s="6" t="e">
        <f>Prep[[#This Row],[WP]]*0.25+Prep[[#This Row],[OWP]]*0.5+Prep[[#This Row],[OOWP]]*0.25</f>
        <v>#VALUE!</v>
      </c>
    </row>
    <row r="174" spans="1:6" x14ac:dyDescent="0.2">
      <c r="A174" t="str">
        <f>WP_Calc[[#This Row],[Team]]</f>
        <v/>
      </c>
      <c r="B174" s="6" t="str">
        <f>VLOOKUP(Prep[[#This Row],[Team]],WP_Calc[],4,0)</f>
        <v/>
      </c>
      <c r="C174" s="6" t="e">
        <f>VLOOKUP(Prep[[#This Row],[Team]],OWP_Calc[],2,0)</f>
        <v>#DIV/0!</v>
      </c>
      <c r="D174" s="6" t="e">
        <f>VLOOKUP(Prep[[#This Row],[Team]],OOWP_Calc[],2,0)</f>
        <v>#DIV/0!</v>
      </c>
      <c r="E174" s="3">
        <f>VLOOKUP(Prep[[#This Row],[Team]],WP_Calc[],2,0)+VLOOKUP(Prep[[#This Row],[Team]],WP_Calc[],3,0)</f>
        <v>0</v>
      </c>
      <c r="F174" s="6" t="e">
        <f>Prep[[#This Row],[WP]]*0.25+Prep[[#This Row],[OWP]]*0.5+Prep[[#This Row],[OOWP]]*0.25</f>
        <v>#VALUE!</v>
      </c>
    </row>
    <row r="175" spans="1:6" x14ac:dyDescent="0.2">
      <c r="A175" t="str">
        <f>WP_Calc[[#This Row],[Team]]</f>
        <v/>
      </c>
      <c r="B175" s="6" t="str">
        <f>VLOOKUP(Prep[[#This Row],[Team]],WP_Calc[],4,0)</f>
        <v/>
      </c>
      <c r="C175" s="6" t="e">
        <f>VLOOKUP(Prep[[#This Row],[Team]],OWP_Calc[],2,0)</f>
        <v>#DIV/0!</v>
      </c>
      <c r="D175" s="6" t="e">
        <f>VLOOKUP(Prep[[#This Row],[Team]],OOWP_Calc[],2,0)</f>
        <v>#DIV/0!</v>
      </c>
      <c r="E175" s="3">
        <f>VLOOKUP(Prep[[#This Row],[Team]],WP_Calc[],2,0)+VLOOKUP(Prep[[#This Row],[Team]],WP_Calc[],3,0)</f>
        <v>0</v>
      </c>
      <c r="F175" s="6" t="e">
        <f>Prep[[#This Row],[WP]]*0.25+Prep[[#This Row],[OWP]]*0.5+Prep[[#This Row],[OOWP]]*0.25</f>
        <v>#VALUE!</v>
      </c>
    </row>
    <row r="176" spans="1:6" x14ac:dyDescent="0.2">
      <c r="A176" t="str">
        <f>WP_Calc[[#This Row],[Team]]</f>
        <v/>
      </c>
      <c r="B176" s="6" t="str">
        <f>VLOOKUP(Prep[[#This Row],[Team]],WP_Calc[],4,0)</f>
        <v/>
      </c>
      <c r="C176" s="6" t="e">
        <f>VLOOKUP(Prep[[#This Row],[Team]],OWP_Calc[],2,0)</f>
        <v>#DIV/0!</v>
      </c>
      <c r="D176" s="6" t="e">
        <f>VLOOKUP(Prep[[#This Row],[Team]],OOWP_Calc[],2,0)</f>
        <v>#DIV/0!</v>
      </c>
      <c r="E176" s="3">
        <f>VLOOKUP(Prep[[#This Row],[Team]],WP_Calc[],2,0)+VLOOKUP(Prep[[#This Row],[Team]],WP_Calc[],3,0)</f>
        <v>0</v>
      </c>
      <c r="F176" s="6" t="e">
        <f>Prep[[#This Row],[WP]]*0.25+Prep[[#This Row],[OWP]]*0.5+Prep[[#This Row],[OOWP]]*0.25</f>
        <v>#VALUE!</v>
      </c>
    </row>
    <row r="177" spans="1:6" x14ac:dyDescent="0.2">
      <c r="A177" t="str">
        <f>WP_Calc[[#This Row],[Team]]</f>
        <v/>
      </c>
      <c r="B177" s="6" t="str">
        <f>VLOOKUP(Prep[[#This Row],[Team]],WP_Calc[],4,0)</f>
        <v/>
      </c>
      <c r="C177" s="6" t="e">
        <f>VLOOKUP(Prep[[#This Row],[Team]],OWP_Calc[],2,0)</f>
        <v>#DIV/0!</v>
      </c>
      <c r="D177" s="6" t="e">
        <f>VLOOKUP(Prep[[#This Row],[Team]],OOWP_Calc[],2,0)</f>
        <v>#DIV/0!</v>
      </c>
      <c r="E177" s="3">
        <f>VLOOKUP(Prep[[#This Row],[Team]],WP_Calc[],2,0)+VLOOKUP(Prep[[#This Row],[Team]],WP_Calc[],3,0)</f>
        <v>0</v>
      </c>
      <c r="F177" s="6" t="e">
        <f>Prep[[#This Row],[WP]]*0.25+Prep[[#This Row],[OWP]]*0.5+Prep[[#This Row],[OOWP]]*0.25</f>
        <v>#VALUE!</v>
      </c>
    </row>
    <row r="178" spans="1:6" x14ac:dyDescent="0.2">
      <c r="A178" t="str">
        <f>WP_Calc[[#This Row],[Team]]</f>
        <v/>
      </c>
      <c r="B178" s="6" t="str">
        <f>VLOOKUP(Prep[[#This Row],[Team]],WP_Calc[],4,0)</f>
        <v/>
      </c>
      <c r="C178" s="6" t="e">
        <f>VLOOKUP(Prep[[#This Row],[Team]],OWP_Calc[],2,0)</f>
        <v>#DIV/0!</v>
      </c>
      <c r="D178" s="6" t="e">
        <f>VLOOKUP(Prep[[#This Row],[Team]],OOWP_Calc[],2,0)</f>
        <v>#DIV/0!</v>
      </c>
      <c r="E178" s="3">
        <f>VLOOKUP(Prep[[#This Row],[Team]],WP_Calc[],2,0)+VLOOKUP(Prep[[#This Row],[Team]],WP_Calc[],3,0)</f>
        <v>0</v>
      </c>
      <c r="F178" s="6" t="e">
        <f>Prep[[#This Row],[WP]]*0.25+Prep[[#This Row],[OWP]]*0.5+Prep[[#This Row],[OOWP]]*0.25</f>
        <v>#VALUE!</v>
      </c>
    </row>
    <row r="179" spans="1:6" x14ac:dyDescent="0.2">
      <c r="A179" t="str">
        <f>WP_Calc[[#This Row],[Team]]</f>
        <v/>
      </c>
      <c r="B179" s="6" t="str">
        <f>VLOOKUP(Prep[[#This Row],[Team]],WP_Calc[],4,0)</f>
        <v/>
      </c>
      <c r="C179" s="6" t="e">
        <f>VLOOKUP(Prep[[#This Row],[Team]],OWP_Calc[],2,0)</f>
        <v>#DIV/0!</v>
      </c>
      <c r="D179" s="6" t="e">
        <f>VLOOKUP(Prep[[#This Row],[Team]],OOWP_Calc[],2,0)</f>
        <v>#DIV/0!</v>
      </c>
      <c r="E179" s="3">
        <f>VLOOKUP(Prep[[#This Row],[Team]],WP_Calc[],2,0)+VLOOKUP(Prep[[#This Row],[Team]],WP_Calc[],3,0)</f>
        <v>0</v>
      </c>
      <c r="F179" s="6" t="e">
        <f>Prep[[#This Row],[WP]]*0.25+Prep[[#This Row],[OWP]]*0.5+Prep[[#This Row],[OOWP]]*0.25</f>
        <v>#VALUE!</v>
      </c>
    </row>
    <row r="180" spans="1:6" x14ac:dyDescent="0.2">
      <c r="A180" t="str">
        <f>WP_Calc[[#This Row],[Team]]</f>
        <v/>
      </c>
      <c r="B180" s="6" t="str">
        <f>VLOOKUP(Prep[[#This Row],[Team]],WP_Calc[],4,0)</f>
        <v/>
      </c>
      <c r="C180" s="6" t="e">
        <f>VLOOKUP(Prep[[#This Row],[Team]],OWP_Calc[],2,0)</f>
        <v>#DIV/0!</v>
      </c>
      <c r="D180" s="6" t="e">
        <f>VLOOKUP(Prep[[#This Row],[Team]],OOWP_Calc[],2,0)</f>
        <v>#DIV/0!</v>
      </c>
      <c r="E180" s="3">
        <f>VLOOKUP(Prep[[#This Row],[Team]],WP_Calc[],2,0)+VLOOKUP(Prep[[#This Row],[Team]],WP_Calc[],3,0)</f>
        <v>0</v>
      </c>
      <c r="F180" s="6" t="e">
        <f>Prep[[#This Row],[WP]]*0.25+Prep[[#This Row],[OWP]]*0.5+Prep[[#This Row],[OOWP]]*0.25</f>
        <v>#VALUE!</v>
      </c>
    </row>
    <row r="181" spans="1:6" x14ac:dyDescent="0.2">
      <c r="A181" t="str">
        <f>WP_Calc[[#This Row],[Team]]</f>
        <v/>
      </c>
      <c r="B181" s="6" t="str">
        <f>VLOOKUP(Prep[[#This Row],[Team]],WP_Calc[],4,0)</f>
        <v/>
      </c>
      <c r="C181" s="6" t="e">
        <f>VLOOKUP(Prep[[#This Row],[Team]],OWP_Calc[],2,0)</f>
        <v>#DIV/0!</v>
      </c>
      <c r="D181" s="6" t="e">
        <f>VLOOKUP(Prep[[#This Row],[Team]],OOWP_Calc[],2,0)</f>
        <v>#DIV/0!</v>
      </c>
      <c r="E181" s="3">
        <f>VLOOKUP(Prep[[#This Row],[Team]],WP_Calc[],2,0)+VLOOKUP(Prep[[#This Row],[Team]],WP_Calc[],3,0)</f>
        <v>0</v>
      </c>
      <c r="F181" s="6" t="e">
        <f>Prep[[#This Row],[WP]]*0.25+Prep[[#This Row],[OWP]]*0.5+Prep[[#This Row],[OOWP]]*0.25</f>
        <v>#VALUE!</v>
      </c>
    </row>
    <row r="182" spans="1:6" x14ac:dyDescent="0.2">
      <c r="A182" t="str">
        <f>WP_Calc[[#This Row],[Team]]</f>
        <v/>
      </c>
      <c r="B182" s="6" t="str">
        <f>VLOOKUP(Prep[[#This Row],[Team]],WP_Calc[],4,0)</f>
        <v/>
      </c>
      <c r="C182" s="6" t="e">
        <f>VLOOKUP(Prep[[#This Row],[Team]],OWP_Calc[],2,0)</f>
        <v>#DIV/0!</v>
      </c>
      <c r="D182" s="6" t="e">
        <f>VLOOKUP(Prep[[#This Row],[Team]],OOWP_Calc[],2,0)</f>
        <v>#DIV/0!</v>
      </c>
      <c r="E182" s="3">
        <f>VLOOKUP(Prep[[#This Row],[Team]],WP_Calc[],2,0)+VLOOKUP(Prep[[#This Row],[Team]],WP_Calc[],3,0)</f>
        <v>0</v>
      </c>
      <c r="F182" s="6" t="e">
        <f>Prep[[#This Row],[WP]]*0.25+Prep[[#This Row],[OWP]]*0.5+Prep[[#This Row],[OOWP]]*0.25</f>
        <v>#VALUE!</v>
      </c>
    </row>
    <row r="183" spans="1:6" x14ac:dyDescent="0.2">
      <c r="A183" t="str">
        <f>WP_Calc[[#This Row],[Team]]</f>
        <v/>
      </c>
      <c r="B183" s="6" t="str">
        <f>VLOOKUP(Prep[[#This Row],[Team]],WP_Calc[],4,0)</f>
        <v/>
      </c>
      <c r="C183" s="6" t="e">
        <f>VLOOKUP(Prep[[#This Row],[Team]],OWP_Calc[],2,0)</f>
        <v>#DIV/0!</v>
      </c>
      <c r="D183" s="6" t="e">
        <f>VLOOKUP(Prep[[#This Row],[Team]],OOWP_Calc[],2,0)</f>
        <v>#DIV/0!</v>
      </c>
      <c r="E183" s="3">
        <f>VLOOKUP(Prep[[#This Row],[Team]],WP_Calc[],2,0)+VLOOKUP(Prep[[#This Row],[Team]],WP_Calc[],3,0)</f>
        <v>0</v>
      </c>
      <c r="F183" s="6" t="e">
        <f>Prep[[#This Row],[WP]]*0.25+Prep[[#This Row],[OWP]]*0.5+Prep[[#This Row],[OOWP]]*0.25</f>
        <v>#VALUE!</v>
      </c>
    </row>
    <row r="184" spans="1:6" x14ac:dyDescent="0.2">
      <c r="A184" t="str">
        <f>WP_Calc[[#This Row],[Team]]</f>
        <v/>
      </c>
      <c r="B184" s="6" t="str">
        <f>VLOOKUP(Prep[[#This Row],[Team]],WP_Calc[],4,0)</f>
        <v/>
      </c>
      <c r="C184" s="6" t="e">
        <f>VLOOKUP(Prep[[#This Row],[Team]],OWP_Calc[],2,0)</f>
        <v>#DIV/0!</v>
      </c>
      <c r="D184" s="6" t="e">
        <f>VLOOKUP(Prep[[#This Row],[Team]],OOWP_Calc[],2,0)</f>
        <v>#DIV/0!</v>
      </c>
      <c r="E184" s="3">
        <f>VLOOKUP(Prep[[#This Row],[Team]],WP_Calc[],2,0)+VLOOKUP(Prep[[#This Row],[Team]],WP_Calc[],3,0)</f>
        <v>0</v>
      </c>
      <c r="F184" s="6" t="e">
        <f>Prep[[#This Row],[WP]]*0.25+Prep[[#This Row],[OWP]]*0.5+Prep[[#This Row],[OOWP]]*0.25</f>
        <v>#VALUE!</v>
      </c>
    </row>
    <row r="185" spans="1:6" x14ac:dyDescent="0.2">
      <c r="A185" t="str">
        <f>WP_Calc[[#This Row],[Team]]</f>
        <v/>
      </c>
      <c r="B185" s="6" t="str">
        <f>VLOOKUP(Prep[[#This Row],[Team]],WP_Calc[],4,0)</f>
        <v/>
      </c>
      <c r="C185" s="6" t="e">
        <f>VLOOKUP(Prep[[#This Row],[Team]],OWP_Calc[],2,0)</f>
        <v>#DIV/0!</v>
      </c>
      <c r="D185" s="6" t="e">
        <f>VLOOKUP(Prep[[#This Row],[Team]],OOWP_Calc[],2,0)</f>
        <v>#DIV/0!</v>
      </c>
      <c r="E185" s="3">
        <f>VLOOKUP(Prep[[#This Row],[Team]],WP_Calc[],2,0)+VLOOKUP(Prep[[#This Row],[Team]],WP_Calc[],3,0)</f>
        <v>0</v>
      </c>
      <c r="F185" s="6" t="e">
        <f>Prep[[#This Row],[WP]]*0.25+Prep[[#This Row],[OWP]]*0.5+Prep[[#This Row],[OOWP]]*0.25</f>
        <v>#VALUE!</v>
      </c>
    </row>
    <row r="186" spans="1:6" x14ac:dyDescent="0.2">
      <c r="A186" t="str">
        <f>WP_Calc[[#This Row],[Team]]</f>
        <v/>
      </c>
      <c r="B186" s="6" t="str">
        <f>VLOOKUP(Prep[[#This Row],[Team]],WP_Calc[],4,0)</f>
        <v/>
      </c>
      <c r="C186" s="6" t="e">
        <f>VLOOKUP(Prep[[#This Row],[Team]],OWP_Calc[],2,0)</f>
        <v>#DIV/0!</v>
      </c>
      <c r="D186" s="6" t="e">
        <f>VLOOKUP(Prep[[#This Row],[Team]],OOWP_Calc[],2,0)</f>
        <v>#DIV/0!</v>
      </c>
      <c r="E186" s="3">
        <f>VLOOKUP(Prep[[#This Row],[Team]],WP_Calc[],2,0)+VLOOKUP(Prep[[#This Row],[Team]],WP_Calc[],3,0)</f>
        <v>0</v>
      </c>
      <c r="F186" s="6" t="e">
        <f>Prep[[#This Row],[WP]]*0.25+Prep[[#This Row],[OWP]]*0.5+Prep[[#This Row],[OOWP]]*0.25</f>
        <v>#VALUE!</v>
      </c>
    </row>
    <row r="187" spans="1:6" x14ac:dyDescent="0.2">
      <c r="A187" t="str">
        <f>WP_Calc[[#This Row],[Team]]</f>
        <v/>
      </c>
      <c r="B187" s="6" t="str">
        <f>VLOOKUP(Prep[[#This Row],[Team]],WP_Calc[],4,0)</f>
        <v/>
      </c>
      <c r="C187" s="6" t="e">
        <f>VLOOKUP(Prep[[#This Row],[Team]],OWP_Calc[],2,0)</f>
        <v>#DIV/0!</v>
      </c>
      <c r="D187" s="6" t="e">
        <f>VLOOKUP(Prep[[#This Row],[Team]],OOWP_Calc[],2,0)</f>
        <v>#DIV/0!</v>
      </c>
      <c r="E187" s="3">
        <f>VLOOKUP(Prep[[#This Row],[Team]],WP_Calc[],2,0)+VLOOKUP(Prep[[#This Row],[Team]],WP_Calc[],3,0)</f>
        <v>0</v>
      </c>
      <c r="F187" s="6" t="e">
        <f>Prep[[#This Row],[WP]]*0.25+Prep[[#This Row],[OWP]]*0.5+Prep[[#This Row],[OOWP]]*0.25</f>
        <v>#VALUE!</v>
      </c>
    </row>
    <row r="188" spans="1:6" x14ac:dyDescent="0.2">
      <c r="A188" t="str">
        <f>WP_Calc[[#This Row],[Team]]</f>
        <v/>
      </c>
      <c r="B188" s="6" t="str">
        <f>VLOOKUP(Prep[[#This Row],[Team]],WP_Calc[],4,0)</f>
        <v/>
      </c>
      <c r="C188" s="6" t="e">
        <f>VLOOKUP(Prep[[#This Row],[Team]],OWP_Calc[],2,0)</f>
        <v>#DIV/0!</v>
      </c>
      <c r="D188" s="6" t="e">
        <f>VLOOKUP(Prep[[#This Row],[Team]],OOWP_Calc[],2,0)</f>
        <v>#DIV/0!</v>
      </c>
      <c r="E188" s="3">
        <f>VLOOKUP(Prep[[#This Row],[Team]],WP_Calc[],2,0)+VLOOKUP(Prep[[#This Row],[Team]],WP_Calc[],3,0)</f>
        <v>0</v>
      </c>
      <c r="F188" s="6" t="e">
        <f>Prep[[#This Row],[WP]]*0.25+Prep[[#This Row],[OWP]]*0.5+Prep[[#This Row],[OOWP]]*0.25</f>
        <v>#VALUE!</v>
      </c>
    </row>
    <row r="189" spans="1:6" x14ac:dyDescent="0.2">
      <c r="A189" t="str">
        <f>WP_Calc[[#This Row],[Team]]</f>
        <v/>
      </c>
      <c r="B189" s="6" t="str">
        <f>VLOOKUP(Prep[[#This Row],[Team]],WP_Calc[],4,0)</f>
        <v/>
      </c>
      <c r="C189" s="6" t="e">
        <f>VLOOKUP(Prep[[#This Row],[Team]],OWP_Calc[],2,0)</f>
        <v>#DIV/0!</v>
      </c>
      <c r="D189" s="6" t="e">
        <f>VLOOKUP(Prep[[#This Row],[Team]],OOWP_Calc[],2,0)</f>
        <v>#DIV/0!</v>
      </c>
      <c r="E189" s="3">
        <f>VLOOKUP(Prep[[#This Row],[Team]],WP_Calc[],2,0)+VLOOKUP(Prep[[#This Row],[Team]],WP_Calc[],3,0)</f>
        <v>0</v>
      </c>
      <c r="F189" s="6" t="e">
        <f>Prep[[#This Row],[WP]]*0.25+Prep[[#This Row],[OWP]]*0.5+Prep[[#This Row],[OOWP]]*0.25</f>
        <v>#VALUE!</v>
      </c>
    </row>
    <row r="190" spans="1:6" x14ac:dyDescent="0.2">
      <c r="A190" t="str">
        <f>WP_Calc[[#This Row],[Team]]</f>
        <v/>
      </c>
      <c r="B190" s="6" t="str">
        <f>VLOOKUP(Prep[[#This Row],[Team]],WP_Calc[],4,0)</f>
        <v/>
      </c>
      <c r="C190" s="6" t="e">
        <f>VLOOKUP(Prep[[#This Row],[Team]],OWP_Calc[],2,0)</f>
        <v>#DIV/0!</v>
      </c>
      <c r="D190" s="6" t="e">
        <f>VLOOKUP(Prep[[#This Row],[Team]],OOWP_Calc[],2,0)</f>
        <v>#DIV/0!</v>
      </c>
      <c r="E190" s="3">
        <f>VLOOKUP(Prep[[#This Row],[Team]],WP_Calc[],2,0)+VLOOKUP(Prep[[#This Row],[Team]],WP_Calc[],3,0)</f>
        <v>0</v>
      </c>
      <c r="F190" s="6" t="e">
        <f>Prep[[#This Row],[WP]]*0.25+Prep[[#This Row],[OWP]]*0.5+Prep[[#This Row],[OOWP]]*0.25</f>
        <v>#VALUE!</v>
      </c>
    </row>
    <row r="191" spans="1:6" x14ac:dyDescent="0.2">
      <c r="A191" t="str">
        <f>WP_Calc[[#This Row],[Team]]</f>
        <v/>
      </c>
      <c r="B191" s="6" t="str">
        <f>VLOOKUP(Prep[[#This Row],[Team]],WP_Calc[],4,0)</f>
        <v/>
      </c>
      <c r="C191" s="6" t="e">
        <f>VLOOKUP(Prep[[#This Row],[Team]],OWP_Calc[],2,0)</f>
        <v>#DIV/0!</v>
      </c>
      <c r="D191" s="6" t="e">
        <f>VLOOKUP(Prep[[#This Row],[Team]],OOWP_Calc[],2,0)</f>
        <v>#DIV/0!</v>
      </c>
      <c r="E191" s="3">
        <f>VLOOKUP(Prep[[#This Row],[Team]],WP_Calc[],2,0)+VLOOKUP(Prep[[#This Row],[Team]],WP_Calc[],3,0)</f>
        <v>0</v>
      </c>
      <c r="F191" s="6" t="e">
        <f>Prep[[#This Row],[WP]]*0.25+Prep[[#This Row],[OWP]]*0.5+Prep[[#This Row],[OOWP]]*0.25</f>
        <v>#VALUE!</v>
      </c>
    </row>
    <row r="192" spans="1:6" x14ac:dyDescent="0.2">
      <c r="A192" t="str">
        <f>WP_Calc[[#This Row],[Team]]</f>
        <v/>
      </c>
      <c r="B192" s="6" t="str">
        <f>VLOOKUP(Prep[[#This Row],[Team]],WP_Calc[],4,0)</f>
        <v/>
      </c>
      <c r="C192" s="6" t="e">
        <f>VLOOKUP(Prep[[#This Row],[Team]],OWP_Calc[],2,0)</f>
        <v>#DIV/0!</v>
      </c>
      <c r="D192" s="6" t="e">
        <f>VLOOKUP(Prep[[#This Row],[Team]],OOWP_Calc[],2,0)</f>
        <v>#DIV/0!</v>
      </c>
      <c r="E192" s="3">
        <f>VLOOKUP(Prep[[#This Row],[Team]],WP_Calc[],2,0)+VLOOKUP(Prep[[#This Row],[Team]],WP_Calc[],3,0)</f>
        <v>0</v>
      </c>
      <c r="F192" s="6" t="e">
        <f>Prep[[#This Row],[WP]]*0.25+Prep[[#This Row],[OWP]]*0.5+Prep[[#This Row],[OOWP]]*0.25</f>
        <v>#VALUE!</v>
      </c>
    </row>
    <row r="193" spans="1:6" x14ac:dyDescent="0.2">
      <c r="A193" t="str">
        <f>WP_Calc[[#This Row],[Team]]</f>
        <v/>
      </c>
      <c r="B193" s="6" t="str">
        <f>VLOOKUP(Prep[[#This Row],[Team]],WP_Calc[],4,0)</f>
        <v/>
      </c>
      <c r="C193" s="6" t="e">
        <f>VLOOKUP(Prep[[#This Row],[Team]],OWP_Calc[],2,0)</f>
        <v>#DIV/0!</v>
      </c>
      <c r="D193" s="6" t="e">
        <f>VLOOKUP(Prep[[#This Row],[Team]],OOWP_Calc[],2,0)</f>
        <v>#DIV/0!</v>
      </c>
      <c r="E193" s="3">
        <f>VLOOKUP(Prep[[#This Row],[Team]],WP_Calc[],2,0)+VLOOKUP(Prep[[#This Row],[Team]],WP_Calc[],3,0)</f>
        <v>0</v>
      </c>
      <c r="F193" s="6" t="e">
        <f>Prep[[#This Row],[WP]]*0.25+Prep[[#This Row],[OWP]]*0.5+Prep[[#This Row],[OOWP]]*0.25</f>
        <v>#VALUE!</v>
      </c>
    </row>
    <row r="194" spans="1:6" x14ac:dyDescent="0.2">
      <c r="A194" t="str">
        <f>WP_Calc[[#This Row],[Team]]</f>
        <v/>
      </c>
      <c r="B194" s="6" t="str">
        <f>VLOOKUP(Prep[[#This Row],[Team]],WP_Calc[],4,0)</f>
        <v/>
      </c>
      <c r="C194" s="6" t="e">
        <f>VLOOKUP(Prep[[#This Row],[Team]],OWP_Calc[],2,0)</f>
        <v>#DIV/0!</v>
      </c>
      <c r="D194" s="6" t="e">
        <f>VLOOKUP(Prep[[#This Row],[Team]],OOWP_Calc[],2,0)</f>
        <v>#DIV/0!</v>
      </c>
      <c r="E194" s="3">
        <f>VLOOKUP(Prep[[#This Row],[Team]],WP_Calc[],2,0)+VLOOKUP(Prep[[#This Row],[Team]],WP_Calc[],3,0)</f>
        <v>0</v>
      </c>
      <c r="F194" s="6" t="e">
        <f>Prep[[#This Row],[WP]]*0.25+Prep[[#This Row],[OWP]]*0.5+Prep[[#This Row],[OOWP]]*0.25</f>
        <v>#VALUE!</v>
      </c>
    </row>
    <row r="195" spans="1:6" x14ac:dyDescent="0.2">
      <c r="A195" t="str">
        <f>WP_Calc[[#This Row],[Team]]</f>
        <v/>
      </c>
      <c r="B195" s="6" t="str">
        <f>VLOOKUP(Prep[[#This Row],[Team]],WP_Calc[],4,0)</f>
        <v/>
      </c>
      <c r="C195" s="6" t="e">
        <f>VLOOKUP(Prep[[#This Row],[Team]],OWP_Calc[],2,0)</f>
        <v>#DIV/0!</v>
      </c>
      <c r="D195" s="6" t="e">
        <f>VLOOKUP(Prep[[#This Row],[Team]],OOWP_Calc[],2,0)</f>
        <v>#DIV/0!</v>
      </c>
      <c r="E195" s="3">
        <f>VLOOKUP(Prep[[#This Row],[Team]],WP_Calc[],2,0)+VLOOKUP(Prep[[#This Row],[Team]],WP_Calc[],3,0)</f>
        <v>0</v>
      </c>
      <c r="F195" s="6" t="e">
        <f>Prep[[#This Row],[WP]]*0.25+Prep[[#This Row],[OWP]]*0.5+Prep[[#This Row],[OOWP]]*0.25</f>
        <v>#VALUE!</v>
      </c>
    </row>
    <row r="196" spans="1:6" x14ac:dyDescent="0.2">
      <c r="A196" t="str">
        <f>WP_Calc[[#This Row],[Team]]</f>
        <v/>
      </c>
      <c r="B196" s="6" t="str">
        <f>VLOOKUP(Prep[[#This Row],[Team]],WP_Calc[],4,0)</f>
        <v/>
      </c>
      <c r="C196" s="6" t="e">
        <f>VLOOKUP(Prep[[#This Row],[Team]],OWP_Calc[],2,0)</f>
        <v>#DIV/0!</v>
      </c>
      <c r="D196" s="6" t="e">
        <f>VLOOKUP(Prep[[#This Row],[Team]],OOWP_Calc[],2,0)</f>
        <v>#DIV/0!</v>
      </c>
      <c r="E196" s="3">
        <f>VLOOKUP(Prep[[#This Row],[Team]],WP_Calc[],2,0)+VLOOKUP(Prep[[#This Row],[Team]],WP_Calc[],3,0)</f>
        <v>0</v>
      </c>
      <c r="F196" s="6" t="e">
        <f>Prep[[#This Row],[WP]]*0.25+Prep[[#This Row],[OWP]]*0.5+Prep[[#This Row],[OOWP]]*0.25</f>
        <v>#VALUE!</v>
      </c>
    </row>
    <row r="197" spans="1:6" x14ac:dyDescent="0.2">
      <c r="A197" t="str">
        <f>WP_Calc[[#This Row],[Team]]</f>
        <v/>
      </c>
      <c r="B197" s="6" t="str">
        <f>VLOOKUP(Prep[[#This Row],[Team]],WP_Calc[],4,0)</f>
        <v/>
      </c>
      <c r="C197" s="6" t="e">
        <f>VLOOKUP(Prep[[#This Row],[Team]],OWP_Calc[],2,0)</f>
        <v>#DIV/0!</v>
      </c>
      <c r="D197" s="6" t="e">
        <f>VLOOKUP(Prep[[#This Row],[Team]],OOWP_Calc[],2,0)</f>
        <v>#DIV/0!</v>
      </c>
      <c r="E197" s="3">
        <f>VLOOKUP(Prep[[#This Row],[Team]],WP_Calc[],2,0)+VLOOKUP(Prep[[#This Row],[Team]],WP_Calc[],3,0)</f>
        <v>0</v>
      </c>
      <c r="F197" s="6" t="e">
        <f>Prep[[#This Row],[WP]]*0.25+Prep[[#This Row],[OWP]]*0.5+Prep[[#This Row],[OOWP]]*0.25</f>
        <v>#VALUE!</v>
      </c>
    </row>
    <row r="198" spans="1:6" x14ac:dyDescent="0.2">
      <c r="A198" t="str">
        <f>WP_Calc[[#This Row],[Team]]</f>
        <v/>
      </c>
      <c r="B198" s="6" t="str">
        <f>VLOOKUP(Prep[[#This Row],[Team]],WP_Calc[],4,0)</f>
        <v/>
      </c>
      <c r="C198" s="6" t="e">
        <f>VLOOKUP(Prep[[#This Row],[Team]],OWP_Calc[],2,0)</f>
        <v>#DIV/0!</v>
      </c>
      <c r="D198" s="6" t="e">
        <f>VLOOKUP(Prep[[#This Row],[Team]],OOWP_Calc[],2,0)</f>
        <v>#DIV/0!</v>
      </c>
      <c r="E198" s="3">
        <f>VLOOKUP(Prep[[#This Row],[Team]],WP_Calc[],2,0)+VLOOKUP(Prep[[#This Row],[Team]],WP_Calc[],3,0)</f>
        <v>0</v>
      </c>
      <c r="F198" s="6" t="e">
        <f>Prep[[#This Row],[WP]]*0.25+Prep[[#This Row],[OWP]]*0.5+Prep[[#This Row],[OOWP]]*0.25</f>
        <v>#VALUE!</v>
      </c>
    </row>
    <row r="199" spans="1:6" x14ac:dyDescent="0.2">
      <c r="A199" t="str">
        <f>WP_Calc[[#This Row],[Team]]</f>
        <v/>
      </c>
      <c r="B199" s="6" t="str">
        <f>VLOOKUP(Prep[[#This Row],[Team]],WP_Calc[],4,0)</f>
        <v/>
      </c>
      <c r="C199" s="6" t="e">
        <f>VLOOKUP(Prep[[#This Row],[Team]],OWP_Calc[],2,0)</f>
        <v>#DIV/0!</v>
      </c>
      <c r="D199" s="6" t="e">
        <f>VLOOKUP(Prep[[#This Row],[Team]],OOWP_Calc[],2,0)</f>
        <v>#DIV/0!</v>
      </c>
      <c r="E199" s="3">
        <f>VLOOKUP(Prep[[#This Row],[Team]],WP_Calc[],2,0)+VLOOKUP(Prep[[#This Row],[Team]],WP_Calc[],3,0)</f>
        <v>0</v>
      </c>
      <c r="F199" s="6" t="e">
        <f>Prep[[#This Row],[WP]]*0.25+Prep[[#This Row],[OWP]]*0.5+Prep[[#This Row],[OOWP]]*0.25</f>
        <v>#VALUE!</v>
      </c>
    </row>
    <row r="200" spans="1:6" x14ac:dyDescent="0.2">
      <c r="A200" t="str">
        <f>WP_Calc[[#This Row],[Team]]</f>
        <v/>
      </c>
      <c r="B200" s="6" t="str">
        <f>VLOOKUP(Prep[[#This Row],[Team]],WP_Calc[],4,0)</f>
        <v/>
      </c>
      <c r="C200" s="6" t="e">
        <f>VLOOKUP(Prep[[#This Row],[Team]],OWP_Calc[],2,0)</f>
        <v>#DIV/0!</v>
      </c>
      <c r="D200" s="6" t="e">
        <f>VLOOKUP(Prep[[#This Row],[Team]],OOWP_Calc[],2,0)</f>
        <v>#DIV/0!</v>
      </c>
      <c r="E200" s="3">
        <f>VLOOKUP(Prep[[#This Row],[Team]],WP_Calc[],2,0)+VLOOKUP(Prep[[#This Row],[Team]],WP_Calc[],3,0)</f>
        <v>0</v>
      </c>
      <c r="F200" s="6" t="e">
        <f>Prep[[#This Row],[WP]]*0.25+Prep[[#This Row],[OWP]]*0.5+Prep[[#This Row],[OOWP]]*0.25</f>
        <v>#VALUE!</v>
      </c>
    </row>
    <row r="201" spans="1:6" x14ac:dyDescent="0.2">
      <c r="A201" t="str">
        <f>WP_Calc[[#This Row],[Team]]</f>
        <v/>
      </c>
      <c r="B201" s="6" t="str">
        <f>VLOOKUP(Prep[[#This Row],[Team]],WP_Calc[],4,0)</f>
        <v/>
      </c>
      <c r="C201" s="6" t="e">
        <f>VLOOKUP(Prep[[#This Row],[Team]],OWP_Calc[],2,0)</f>
        <v>#DIV/0!</v>
      </c>
      <c r="D201" s="6" t="e">
        <f>VLOOKUP(Prep[[#This Row],[Team]],OOWP_Calc[],2,0)</f>
        <v>#DIV/0!</v>
      </c>
      <c r="E201" s="3">
        <f>VLOOKUP(Prep[[#This Row],[Team]],WP_Calc[],2,0)+VLOOKUP(Prep[[#This Row],[Team]],WP_Calc[],3,0)</f>
        <v>0</v>
      </c>
      <c r="F201" s="6" t="e">
        <f>Prep[[#This Row],[WP]]*0.25+Prep[[#This Row],[OWP]]*0.5+Prep[[#This Row],[OOWP]]*0.25</f>
        <v>#VALUE!</v>
      </c>
    </row>
    <row r="202" spans="1:6" x14ac:dyDescent="0.2">
      <c r="A202" t="str">
        <f>WP_Calc[[#This Row],[Team]]</f>
        <v/>
      </c>
      <c r="B202" s="6" t="str">
        <f>VLOOKUP(Prep[[#This Row],[Team]],WP_Calc[],4,0)</f>
        <v/>
      </c>
      <c r="C202" s="6" t="e">
        <f>VLOOKUP(Prep[[#This Row],[Team]],OWP_Calc[],2,0)</f>
        <v>#DIV/0!</v>
      </c>
      <c r="D202" s="6" t="e">
        <f>VLOOKUP(Prep[[#This Row],[Team]],OOWP_Calc[],2,0)</f>
        <v>#DIV/0!</v>
      </c>
      <c r="E202" s="3">
        <f>VLOOKUP(Prep[[#This Row],[Team]],WP_Calc[],2,0)+VLOOKUP(Prep[[#This Row],[Team]],WP_Calc[],3,0)</f>
        <v>0</v>
      </c>
      <c r="F202" s="6" t="e">
        <f>Prep[[#This Row],[WP]]*0.25+Prep[[#This Row],[OWP]]*0.5+Prep[[#This Row],[OOWP]]*0.25</f>
        <v>#VALUE!</v>
      </c>
    </row>
    <row r="203" spans="1:6" x14ac:dyDescent="0.2">
      <c r="A203" t="str">
        <f>WP_Calc[[#This Row],[Team]]</f>
        <v/>
      </c>
      <c r="B203" s="6" t="str">
        <f>VLOOKUP(Prep[[#This Row],[Team]],WP_Calc[],4,0)</f>
        <v/>
      </c>
      <c r="C203" s="6" t="e">
        <f>VLOOKUP(Prep[[#This Row],[Team]],OWP_Calc[],2,0)</f>
        <v>#DIV/0!</v>
      </c>
      <c r="D203" s="6" t="e">
        <f>VLOOKUP(Prep[[#This Row],[Team]],OOWP_Calc[],2,0)</f>
        <v>#DIV/0!</v>
      </c>
      <c r="E203" s="3">
        <f>VLOOKUP(Prep[[#This Row],[Team]],WP_Calc[],2,0)+VLOOKUP(Prep[[#This Row],[Team]],WP_Calc[],3,0)</f>
        <v>0</v>
      </c>
      <c r="F203" s="6" t="e">
        <f>Prep[[#This Row],[WP]]*0.25+Prep[[#This Row],[OWP]]*0.5+Prep[[#This Row],[OOWP]]*0.25</f>
        <v>#VALUE!</v>
      </c>
    </row>
    <row r="204" spans="1:6" x14ac:dyDescent="0.2">
      <c r="A204" t="str">
        <f>WP_Calc[[#This Row],[Team]]</f>
        <v/>
      </c>
      <c r="B204" s="6" t="str">
        <f>VLOOKUP(Prep[[#This Row],[Team]],WP_Calc[],4,0)</f>
        <v/>
      </c>
      <c r="C204" s="6" t="e">
        <f>VLOOKUP(Prep[[#This Row],[Team]],OWP_Calc[],2,0)</f>
        <v>#DIV/0!</v>
      </c>
      <c r="D204" s="6" t="e">
        <f>VLOOKUP(Prep[[#This Row],[Team]],OOWP_Calc[],2,0)</f>
        <v>#DIV/0!</v>
      </c>
      <c r="E204" s="3">
        <f>VLOOKUP(Prep[[#This Row],[Team]],WP_Calc[],2,0)+VLOOKUP(Prep[[#This Row],[Team]],WP_Calc[],3,0)</f>
        <v>0</v>
      </c>
      <c r="F204" s="6" t="e">
        <f>Prep[[#This Row],[WP]]*0.25+Prep[[#This Row],[OWP]]*0.5+Prep[[#This Row],[OOWP]]*0.25</f>
        <v>#VALUE!</v>
      </c>
    </row>
    <row r="205" spans="1:6" x14ac:dyDescent="0.2">
      <c r="A205" t="str">
        <f>WP_Calc[[#This Row],[Team]]</f>
        <v/>
      </c>
      <c r="B205" s="6" t="str">
        <f>VLOOKUP(Prep[[#This Row],[Team]],WP_Calc[],4,0)</f>
        <v/>
      </c>
      <c r="C205" s="6" t="e">
        <f>VLOOKUP(Prep[[#This Row],[Team]],OWP_Calc[],2,0)</f>
        <v>#DIV/0!</v>
      </c>
      <c r="D205" s="6" t="e">
        <f>VLOOKUP(Prep[[#This Row],[Team]],OOWP_Calc[],2,0)</f>
        <v>#DIV/0!</v>
      </c>
      <c r="E205" s="3">
        <f>VLOOKUP(Prep[[#This Row],[Team]],WP_Calc[],2,0)+VLOOKUP(Prep[[#This Row],[Team]],WP_Calc[],3,0)</f>
        <v>0</v>
      </c>
      <c r="F205" s="6" t="e">
        <f>Prep[[#This Row],[WP]]*0.25+Prep[[#This Row],[OWP]]*0.5+Prep[[#This Row],[OOWP]]*0.25</f>
        <v>#VALUE!</v>
      </c>
    </row>
    <row r="206" spans="1:6" x14ac:dyDescent="0.2">
      <c r="A206" t="str">
        <f>WP_Calc[[#This Row],[Team]]</f>
        <v/>
      </c>
      <c r="B206" s="6" t="str">
        <f>VLOOKUP(Prep[[#This Row],[Team]],WP_Calc[],4,0)</f>
        <v/>
      </c>
      <c r="C206" s="6" t="e">
        <f>VLOOKUP(Prep[[#This Row],[Team]],OWP_Calc[],2,0)</f>
        <v>#DIV/0!</v>
      </c>
      <c r="D206" s="6" t="e">
        <f>VLOOKUP(Prep[[#This Row],[Team]],OOWP_Calc[],2,0)</f>
        <v>#DIV/0!</v>
      </c>
      <c r="E206" s="3">
        <f>VLOOKUP(Prep[[#This Row],[Team]],WP_Calc[],2,0)+VLOOKUP(Prep[[#This Row],[Team]],WP_Calc[],3,0)</f>
        <v>0</v>
      </c>
      <c r="F206" s="6" t="e">
        <f>Prep[[#This Row],[WP]]*0.25+Prep[[#This Row],[OWP]]*0.5+Prep[[#This Row],[OOWP]]*0.25</f>
        <v>#VALUE!</v>
      </c>
    </row>
    <row r="207" spans="1:6" x14ac:dyDescent="0.2">
      <c r="A207" t="str">
        <f>WP_Calc[[#This Row],[Team]]</f>
        <v/>
      </c>
      <c r="B207" s="6" t="str">
        <f>VLOOKUP(Prep[[#This Row],[Team]],WP_Calc[],4,0)</f>
        <v/>
      </c>
      <c r="C207" s="6" t="e">
        <f>VLOOKUP(Prep[[#This Row],[Team]],OWP_Calc[],2,0)</f>
        <v>#DIV/0!</v>
      </c>
      <c r="D207" s="6" t="e">
        <f>VLOOKUP(Prep[[#This Row],[Team]],OOWP_Calc[],2,0)</f>
        <v>#DIV/0!</v>
      </c>
      <c r="E207" s="3">
        <f>VLOOKUP(Prep[[#This Row],[Team]],WP_Calc[],2,0)+VLOOKUP(Prep[[#This Row],[Team]],WP_Calc[],3,0)</f>
        <v>0</v>
      </c>
      <c r="F207" s="6" t="e">
        <f>Prep[[#This Row],[WP]]*0.25+Prep[[#This Row],[OWP]]*0.5+Prep[[#This Row],[OOWP]]*0.25</f>
        <v>#VALUE!</v>
      </c>
    </row>
    <row r="208" spans="1:6" x14ac:dyDescent="0.2">
      <c r="A208" t="str">
        <f>WP_Calc[[#This Row],[Team]]</f>
        <v/>
      </c>
      <c r="B208" s="6" t="str">
        <f>VLOOKUP(Prep[[#This Row],[Team]],WP_Calc[],4,0)</f>
        <v/>
      </c>
      <c r="C208" s="6" t="e">
        <f>VLOOKUP(Prep[[#This Row],[Team]],OWP_Calc[],2,0)</f>
        <v>#DIV/0!</v>
      </c>
      <c r="D208" s="6" t="e">
        <f>VLOOKUP(Prep[[#This Row],[Team]],OOWP_Calc[],2,0)</f>
        <v>#DIV/0!</v>
      </c>
      <c r="E208" s="3">
        <f>VLOOKUP(Prep[[#This Row],[Team]],WP_Calc[],2,0)+VLOOKUP(Prep[[#This Row],[Team]],WP_Calc[],3,0)</f>
        <v>0</v>
      </c>
      <c r="F208" s="6" t="e">
        <f>Prep[[#This Row],[WP]]*0.25+Prep[[#This Row],[OWP]]*0.5+Prep[[#This Row],[OOWP]]*0.25</f>
        <v>#VALUE!</v>
      </c>
    </row>
    <row r="209" spans="1:6" x14ac:dyDescent="0.2">
      <c r="A209" t="str">
        <f>WP_Calc[[#This Row],[Team]]</f>
        <v/>
      </c>
      <c r="B209" s="6" t="str">
        <f>VLOOKUP(Prep[[#This Row],[Team]],WP_Calc[],4,0)</f>
        <v/>
      </c>
      <c r="C209" s="6" t="e">
        <f>VLOOKUP(Prep[[#This Row],[Team]],OWP_Calc[],2,0)</f>
        <v>#DIV/0!</v>
      </c>
      <c r="D209" s="6" t="e">
        <f>VLOOKUP(Prep[[#This Row],[Team]],OOWP_Calc[],2,0)</f>
        <v>#DIV/0!</v>
      </c>
      <c r="E209" s="3">
        <f>VLOOKUP(Prep[[#This Row],[Team]],WP_Calc[],2,0)+VLOOKUP(Prep[[#This Row],[Team]],WP_Calc[],3,0)</f>
        <v>0</v>
      </c>
      <c r="F209" s="6" t="e">
        <f>Prep[[#This Row],[WP]]*0.25+Prep[[#This Row],[OWP]]*0.5+Prep[[#This Row],[OOWP]]*0.25</f>
        <v>#VALUE!</v>
      </c>
    </row>
    <row r="210" spans="1:6" x14ac:dyDescent="0.2">
      <c r="A210" t="str">
        <f>WP_Calc[[#This Row],[Team]]</f>
        <v/>
      </c>
      <c r="B210" s="6" t="str">
        <f>VLOOKUP(Prep[[#This Row],[Team]],WP_Calc[],4,0)</f>
        <v/>
      </c>
      <c r="C210" s="6" t="e">
        <f>VLOOKUP(Prep[[#This Row],[Team]],OWP_Calc[],2,0)</f>
        <v>#DIV/0!</v>
      </c>
      <c r="D210" s="6" t="e">
        <f>VLOOKUP(Prep[[#This Row],[Team]],OOWP_Calc[],2,0)</f>
        <v>#DIV/0!</v>
      </c>
      <c r="E210" s="3">
        <f>VLOOKUP(Prep[[#This Row],[Team]],WP_Calc[],2,0)+VLOOKUP(Prep[[#This Row],[Team]],WP_Calc[],3,0)</f>
        <v>0</v>
      </c>
      <c r="F210" s="6" t="e">
        <f>Prep[[#This Row],[WP]]*0.25+Prep[[#This Row],[OWP]]*0.5+Prep[[#This Row],[OOWP]]*0.25</f>
        <v>#VALUE!</v>
      </c>
    </row>
    <row r="211" spans="1:6" x14ac:dyDescent="0.2">
      <c r="A211" t="str">
        <f>WP_Calc[[#This Row],[Team]]</f>
        <v/>
      </c>
      <c r="B211" s="6" t="str">
        <f>VLOOKUP(Prep[[#This Row],[Team]],WP_Calc[],4,0)</f>
        <v/>
      </c>
      <c r="C211" s="6" t="e">
        <f>VLOOKUP(Prep[[#This Row],[Team]],OWP_Calc[],2,0)</f>
        <v>#DIV/0!</v>
      </c>
      <c r="D211" s="6" t="e">
        <f>VLOOKUP(Prep[[#This Row],[Team]],OOWP_Calc[],2,0)</f>
        <v>#DIV/0!</v>
      </c>
      <c r="E211" s="3">
        <f>VLOOKUP(Prep[[#This Row],[Team]],WP_Calc[],2,0)+VLOOKUP(Prep[[#This Row],[Team]],WP_Calc[],3,0)</f>
        <v>0</v>
      </c>
      <c r="F211" s="6" t="e">
        <f>Prep[[#This Row],[WP]]*0.25+Prep[[#This Row],[OWP]]*0.5+Prep[[#This Row],[OOWP]]*0.25</f>
        <v>#VALUE!</v>
      </c>
    </row>
    <row r="212" spans="1:6" x14ac:dyDescent="0.2">
      <c r="A212" t="str">
        <f>WP_Calc[[#This Row],[Team]]</f>
        <v/>
      </c>
      <c r="B212" s="6" t="str">
        <f>VLOOKUP(Prep[[#This Row],[Team]],WP_Calc[],4,0)</f>
        <v/>
      </c>
      <c r="C212" s="6" t="e">
        <f>VLOOKUP(Prep[[#This Row],[Team]],OWP_Calc[],2,0)</f>
        <v>#DIV/0!</v>
      </c>
      <c r="D212" s="6" t="e">
        <f>VLOOKUP(Prep[[#This Row],[Team]],OOWP_Calc[],2,0)</f>
        <v>#DIV/0!</v>
      </c>
      <c r="E212" s="3">
        <f>VLOOKUP(Prep[[#This Row],[Team]],WP_Calc[],2,0)+VLOOKUP(Prep[[#This Row],[Team]],WP_Calc[],3,0)</f>
        <v>0</v>
      </c>
      <c r="F212" s="6" t="e">
        <f>Prep[[#This Row],[WP]]*0.25+Prep[[#This Row],[OWP]]*0.5+Prep[[#This Row],[OOWP]]*0.25</f>
        <v>#VALUE!</v>
      </c>
    </row>
    <row r="213" spans="1:6" x14ac:dyDescent="0.2">
      <c r="A213" t="str">
        <f>WP_Calc[[#This Row],[Team]]</f>
        <v/>
      </c>
      <c r="B213" s="6" t="str">
        <f>VLOOKUP(Prep[[#This Row],[Team]],WP_Calc[],4,0)</f>
        <v/>
      </c>
      <c r="C213" s="6" t="e">
        <f>VLOOKUP(Prep[[#This Row],[Team]],OWP_Calc[],2,0)</f>
        <v>#DIV/0!</v>
      </c>
      <c r="D213" s="6" t="e">
        <f>VLOOKUP(Prep[[#This Row],[Team]],OOWP_Calc[],2,0)</f>
        <v>#DIV/0!</v>
      </c>
      <c r="E213" s="3">
        <f>VLOOKUP(Prep[[#This Row],[Team]],WP_Calc[],2,0)+VLOOKUP(Prep[[#This Row],[Team]],WP_Calc[],3,0)</f>
        <v>0</v>
      </c>
      <c r="F213" s="6" t="e">
        <f>Prep[[#This Row],[WP]]*0.25+Prep[[#This Row],[OWP]]*0.5+Prep[[#This Row],[OOWP]]*0.25</f>
        <v>#VALUE!</v>
      </c>
    </row>
    <row r="214" spans="1:6" x14ac:dyDescent="0.2">
      <c r="A214" t="str">
        <f>WP_Calc[[#This Row],[Team]]</f>
        <v/>
      </c>
      <c r="B214" s="6" t="str">
        <f>VLOOKUP(Prep[[#This Row],[Team]],WP_Calc[],4,0)</f>
        <v/>
      </c>
      <c r="C214" s="6" t="e">
        <f>VLOOKUP(Prep[[#This Row],[Team]],OWP_Calc[],2,0)</f>
        <v>#DIV/0!</v>
      </c>
      <c r="D214" s="6" t="e">
        <f>VLOOKUP(Prep[[#This Row],[Team]],OOWP_Calc[],2,0)</f>
        <v>#DIV/0!</v>
      </c>
      <c r="E214" s="3">
        <f>VLOOKUP(Prep[[#This Row],[Team]],WP_Calc[],2,0)+VLOOKUP(Prep[[#This Row],[Team]],WP_Calc[],3,0)</f>
        <v>0</v>
      </c>
      <c r="F214" s="6" t="e">
        <f>Prep[[#This Row],[WP]]*0.25+Prep[[#This Row],[OWP]]*0.5+Prep[[#This Row],[OOWP]]*0.25</f>
        <v>#VALUE!</v>
      </c>
    </row>
    <row r="215" spans="1:6" x14ac:dyDescent="0.2">
      <c r="A215" t="str">
        <f>WP_Calc[[#This Row],[Team]]</f>
        <v/>
      </c>
      <c r="B215" s="6" t="str">
        <f>VLOOKUP(Prep[[#This Row],[Team]],WP_Calc[],4,0)</f>
        <v/>
      </c>
      <c r="C215" s="6" t="e">
        <f>VLOOKUP(Prep[[#This Row],[Team]],OWP_Calc[],2,0)</f>
        <v>#DIV/0!</v>
      </c>
      <c r="D215" s="6" t="e">
        <f>VLOOKUP(Prep[[#This Row],[Team]],OOWP_Calc[],2,0)</f>
        <v>#DIV/0!</v>
      </c>
      <c r="E215" s="3">
        <f>VLOOKUP(Prep[[#This Row],[Team]],WP_Calc[],2,0)+VLOOKUP(Prep[[#This Row],[Team]],WP_Calc[],3,0)</f>
        <v>0</v>
      </c>
      <c r="F215" s="6" t="e">
        <f>Prep[[#This Row],[WP]]*0.25+Prep[[#This Row],[OWP]]*0.5+Prep[[#This Row],[OOWP]]*0.25</f>
        <v>#VALUE!</v>
      </c>
    </row>
    <row r="216" spans="1:6" x14ac:dyDescent="0.2">
      <c r="A216" t="str">
        <f>WP_Calc[[#This Row],[Team]]</f>
        <v/>
      </c>
      <c r="B216" s="6" t="str">
        <f>VLOOKUP(Prep[[#This Row],[Team]],WP_Calc[],4,0)</f>
        <v/>
      </c>
      <c r="C216" s="6" t="e">
        <f>VLOOKUP(Prep[[#This Row],[Team]],OWP_Calc[],2,0)</f>
        <v>#DIV/0!</v>
      </c>
      <c r="D216" s="6" t="e">
        <f>VLOOKUP(Prep[[#This Row],[Team]],OOWP_Calc[],2,0)</f>
        <v>#DIV/0!</v>
      </c>
      <c r="E216" s="3">
        <f>VLOOKUP(Prep[[#This Row],[Team]],WP_Calc[],2,0)+VLOOKUP(Prep[[#This Row],[Team]],WP_Calc[],3,0)</f>
        <v>0</v>
      </c>
      <c r="F216" s="6" t="e">
        <f>Prep[[#This Row],[WP]]*0.25+Prep[[#This Row],[OWP]]*0.5+Prep[[#This Row],[OOWP]]*0.25</f>
        <v>#VALUE!</v>
      </c>
    </row>
    <row r="217" spans="1:6" x14ac:dyDescent="0.2">
      <c r="A217" t="str">
        <f>WP_Calc[[#This Row],[Team]]</f>
        <v/>
      </c>
      <c r="B217" s="6" t="str">
        <f>VLOOKUP(Prep[[#This Row],[Team]],WP_Calc[],4,0)</f>
        <v/>
      </c>
      <c r="C217" s="6" t="e">
        <f>VLOOKUP(Prep[[#This Row],[Team]],OWP_Calc[],2,0)</f>
        <v>#DIV/0!</v>
      </c>
      <c r="D217" s="6" t="e">
        <f>VLOOKUP(Prep[[#This Row],[Team]],OOWP_Calc[],2,0)</f>
        <v>#DIV/0!</v>
      </c>
      <c r="E217" s="3">
        <f>VLOOKUP(Prep[[#This Row],[Team]],WP_Calc[],2,0)+VLOOKUP(Prep[[#This Row],[Team]],WP_Calc[],3,0)</f>
        <v>0</v>
      </c>
      <c r="F217" s="6" t="e">
        <f>Prep[[#This Row],[WP]]*0.25+Prep[[#This Row],[OWP]]*0.5+Prep[[#This Row],[OOWP]]*0.25</f>
        <v>#VALUE!</v>
      </c>
    </row>
    <row r="218" spans="1:6" x14ac:dyDescent="0.2">
      <c r="A218" t="str">
        <f>WP_Calc[[#This Row],[Team]]</f>
        <v/>
      </c>
      <c r="B218" s="6" t="str">
        <f>VLOOKUP(Prep[[#This Row],[Team]],WP_Calc[],4,0)</f>
        <v/>
      </c>
      <c r="C218" s="6" t="e">
        <f>VLOOKUP(Prep[[#This Row],[Team]],OWP_Calc[],2,0)</f>
        <v>#DIV/0!</v>
      </c>
      <c r="D218" s="6" t="e">
        <f>VLOOKUP(Prep[[#This Row],[Team]],OOWP_Calc[],2,0)</f>
        <v>#DIV/0!</v>
      </c>
      <c r="E218" s="3">
        <f>VLOOKUP(Prep[[#This Row],[Team]],WP_Calc[],2,0)+VLOOKUP(Prep[[#This Row],[Team]],WP_Calc[],3,0)</f>
        <v>0</v>
      </c>
      <c r="F218" s="6" t="e">
        <f>Prep[[#This Row],[WP]]*0.25+Prep[[#This Row],[OWP]]*0.5+Prep[[#This Row],[OOWP]]*0.25</f>
        <v>#VALUE!</v>
      </c>
    </row>
    <row r="219" spans="1:6" x14ac:dyDescent="0.2">
      <c r="A219" t="str">
        <f>WP_Calc[[#This Row],[Team]]</f>
        <v/>
      </c>
      <c r="B219" s="6" t="str">
        <f>VLOOKUP(Prep[[#This Row],[Team]],WP_Calc[],4,0)</f>
        <v/>
      </c>
      <c r="C219" s="6" t="e">
        <f>VLOOKUP(Prep[[#This Row],[Team]],OWP_Calc[],2,0)</f>
        <v>#DIV/0!</v>
      </c>
      <c r="D219" s="6" t="e">
        <f>VLOOKUP(Prep[[#This Row],[Team]],OOWP_Calc[],2,0)</f>
        <v>#DIV/0!</v>
      </c>
      <c r="E219" s="3">
        <f>VLOOKUP(Prep[[#This Row],[Team]],WP_Calc[],2,0)+VLOOKUP(Prep[[#This Row],[Team]],WP_Calc[],3,0)</f>
        <v>0</v>
      </c>
      <c r="F219" s="6" t="e">
        <f>Prep[[#This Row],[WP]]*0.25+Prep[[#This Row],[OWP]]*0.5+Prep[[#This Row],[OOWP]]*0.25</f>
        <v>#VALUE!</v>
      </c>
    </row>
    <row r="220" spans="1:6" x14ac:dyDescent="0.2">
      <c r="A220" t="str">
        <f>WP_Calc[[#This Row],[Team]]</f>
        <v/>
      </c>
      <c r="B220" s="6" t="str">
        <f>VLOOKUP(Prep[[#This Row],[Team]],WP_Calc[],4,0)</f>
        <v/>
      </c>
      <c r="C220" s="6" t="e">
        <f>VLOOKUP(Prep[[#This Row],[Team]],OWP_Calc[],2,0)</f>
        <v>#DIV/0!</v>
      </c>
      <c r="D220" s="6" t="e">
        <f>VLOOKUP(Prep[[#This Row],[Team]],OOWP_Calc[],2,0)</f>
        <v>#DIV/0!</v>
      </c>
      <c r="E220" s="3">
        <f>VLOOKUP(Prep[[#This Row],[Team]],WP_Calc[],2,0)+VLOOKUP(Prep[[#This Row],[Team]],WP_Calc[],3,0)</f>
        <v>0</v>
      </c>
      <c r="F220" s="6" t="e">
        <f>Prep[[#This Row],[WP]]*0.25+Prep[[#This Row],[OWP]]*0.5+Prep[[#This Row],[OOWP]]*0.25</f>
        <v>#VALUE!</v>
      </c>
    </row>
    <row r="221" spans="1:6" x14ac:dyDescent="0.2">
      <c r="A221" t="str">
        <f>WP_Calc[[#This Row],[Team]]</f>
        <v/>
      </c>
      <c r="B221" s="6" t="str">
        <f>VLOOKUP(Prep[[#This Row],[Team]],WP_Calc[],4,0)</f>
        <v/>
      </c>
      <c r="C221" s="6" t="e">
        <f>VLOOKUP(Prep[[#This Row],[Team]],OWP_Calc[],2,0)</f>
        <v>#DIV/0!</v>
      </c>
      <c r="D221" s="6" t="e">
        <f>VLOOKUP(Prep[[#This Row],[Team]],OOWP_Calc[],2,0)</f>
        <v>#DIV/0!</v>
      </c>
      <c r="E221" s="3">
        <f>VLOOKUP(Prep[[#This Row],[Team]],WP_Calc[],2,0)+VLOOKUP(Prep[[#This Row],[Team]],WP_Calc[],3,0)</f>
        <v>0</v>
      </c>
      <c r="F221" s="6" t="e">
        <f>Prep[[#This Row],[WP]]*0.25+Prep[[#This Row],[OWP]]*0.5+Prep[[#This Row],[OOWP]]*0.25</f>
        <v>#VALUE!</v>
      </c>
    </row>
    <row r="222" spans="1:6" x14ac:dyDescent="0.2">
      <c r="A222" t="str">
        <f>WP_Calc[[#This Row],[Team]]</f>
        <v/>
      </c>
      <c r="B222" s="6" t="str">
        <f>VLOOKUP(Prep[[#This Row],[Team]],WP_Calc[],4,0)</f>
        <v/>
      </c>
      <c r="C222" s="6" t="e">
        <f>VLOOKUP(Prep[[#This Row],[Team]],OWP_Calc[],2,0)</f>
        <v>#DIV/0!</v>
      </c>
      <c r="D222" s="6" t="e">
        <f>VLOOKUP(Prep[[#This Row],[Team]],OOWP_Calc[],2,0)</f>
        <v>#DIV/0!</v>
      </c>
      <c r="E222" s="3">
        <f>VLOOKUP(Prep[[#This Row],[Team]],WP_Calc[],2,0)+VLOOKUP(Prep[[#This Row],[Team]],WP_Calc[],3,0)</f>
        <v>0</v>
      </c>
      <c r="F222" s="6" t="e">
        <f>Prep[[#This Row],[WP]]*0.25+Prep[[#This Row],[OWP]]*0.5+Prep[[#This Row],[OOWP]]*0.25</f>
        <v>#VALUE!</v>
      </c>
    </row>
    <row r="223" spans="1:6" x14ac:dyDescent="0.2">
      <c r="A223" t="str">
        <f>WP_Calc[[#This Row],[Team]]</f>
        <v/>
      </c>
      <c r="B223" s="6" t="str">
        <f>VLOOKUP(Prep[[#This Row],[Team]],WP_Calc[],4,0)</f>
        <v/>
      </c>
      <c r="C223" s="6" t="e">
        <f>VLOOKUP(Prep[[#This Row],[Team]],OWP_Calc[],2,0)</f>
        <v>#DIV/0!</v>
      </c>
      <c r="D223" s="6" t="e">
        <f>VLOOKUP(Prep[[#This Row],[Team]],OOWP_Calc[],2,0)</f>
        <v>#DIV/0!</v>
      </c>
      <c r="E223" s="3">
        <f>VLOOKUP(Prep[[#This Row],[Team]],WP_Calc[],2,0)+VLOOKUP(Prep[[#This Row],[Team]],WP_Calc[],3,0)</f>
        <v>0</v>
      </c>
      <c r="F223" s="6" t="e">
        <f>Prep[[#This Row],[WP]]*0.25+Prep[[#This Row],[OWP]]*0.5+Prep[[#This Row],[OOWP]]*0.25</f>
        <v>#VALUE!</v>
      </c>
    </row>
    <row r="224" spans="1:6" x14ac:dyDescent="0.2">
      <c r="A224" t="str">
        <f>WP_Calc[[#This Row],[Team]]</f>
        <v/>
      </c>
      <c r="B224" s="6" t="str">
        <f>VLOOKUP(Prep[[#This Row],[Team]],WP_Calc[],4,0)</f>
        <v/>
      </c>
      <c r="C224" s="6" t="e">
        <f>VLOOKUP(Prep[[#This Row],[Team]],OWP_Calc[],2,0)</f>
        <v>#DIV/0!</v>
      </c>
      <c r="D224" s="6" t="e">
        <f>VLOOKUP(Prep[[#This Row],[Team]],OOWP_Calc[],2,0)</f>
        <v>#DIV/0!</v>
      </c>
      <c r="E224" s="3">
        <f>VLOOKUP(Prep[[#This Row],[Team]],WP_Calc[],2,0)+VLOOKUP(Prep[[#This Row],[Team]],WP_Calc[],3,0)</f>
        <v>0</v>
      </c>
      <c r="F224" s="6" t="e">
        <f>Prep[[#This Row],[WP]]*0.25+Prep[[#This Row],[OWP]]*0.5+Prep[[#This Row],[OOWP]]*0.25</f>
        <v>#VALUE!</v>
      </c>
    </row>
    <row r="225" spans="1:6" x14ac:dyDescent="0.2">
      <c r="A225" t="str">
        <f>WP_Calc[[#This Row],[Team]]</f>
        <v/>
      </c>
      <c r="B225" s="6" t="str">
        <f>VLOOKUP(Prep[[#This Row],[Team]],WP_Calc[],4,0)</f>
        <v/>
      </c>
      <c r="C225" s="6" t="e">
        <f>VLOOKUP(Prep[[#This Row],[Team]],OWP_Calc[],2,0)</f>
        <v>#DIV/0!</v>
      </c>
      <c r="D225" s="6" t="e">
        <f>VLOOKUP(Prep[[#This Row],[Team]],OOWP_Calc[],2,0)</f>
        <v>#DIV/0!</v>
      </c>
      <c r="E225" s="3">
        <f>VLOOKUP(Prep[[#This Row],[Team]],WP_Calc[],2,0)+VLOOKUP(Prep[[#This Row],[Team]],WP_Calc[],3,0)</f>
        <v>0</v>
      </c>
      <c r="F225" s="6" t="e">
        <f>Prep[[#This Row],[WP]]*0.25+Prep[[#This Row],[OWP]]*0.5+Prep[[#This Row],[OOWP]]*0.25</f>
        <v>#VALUE!</v>
      </c>
    </row>
    <row r="226" spans="1:6" x14ac:dyDescent="0.2">
      <c r="A226" t="str">
        <f>WP_Calc[[#This Row],[Team]]</f>
        <v/>
      </c>
      <c r="B226" s="6" t="str">
        <f>VLOOKUP(Prep[[#This Row],[Team]],WP_Calc[],4,0)</f>
        <v/>
      </c>
      <c r="C226" s="6" t="e">
        <f>VLOOKUP(Prep[[#This Row],[Team]],OWP_Calc[],2,0)</f>
        <v>#DIV/0!</v>
      </c>
      <c r="D226" s="6" t="e">
        <f>VLOOKUP(Prep[[#This Row],[Team]],OOWP_Calc[],2,0)</f>
        <v>#DIV/0!</v>
      </c>
      <c r="E226" s="3">
        <f>VLOOKUP(Prep[[#This Row],[Team]],WP_Calc[],2,0)+VLOOKUP(Prep[[#This Row],[Team]],WP_Calc[],3,0)</f>
        <v>0</v>
      </c>
      <c r="F226" s="6" t="e">
        <f>Prep[[#This Row],[WP]]*0.25+Prep[[#This Row],[OWP]]*0.5+Prep[[#This Row],[OOWP]]*0.25</f>
        <v>#VALUE!</v>
      </c>
    </row>
    <row r="227" spans="1:6" x14ac:dyDescent="0.2">
      <c r="A227" t="str">
        <f>WP_Calc[[#This Row],[Team]]</f>
        <v/>
      </c>
      <c r="B227" s="6" t="str">
        <f>VLOOKUP(Prep[[#This Row],[Team]],WP_Calc[],4,0)</f>
        <v/>
      </c>
      <c r="C227" s="6" t="e">
        <f>VLOOKUP(Prep[[#This Row],[Team]],OWP_Calc[],2,0)</f>
        <v>#DIV/0!</v>
      </c>
      <c r="D227" s="6" t="e">
        <f>VLOOKUP(Prep[[#This Row],[Team]],OOWP_Calc[],2,0)</f>
        <v>#DIV/0!</v>
      </c>
      <c r="E227" s="3">
        <f>VLOOKUP(Prep[[#This Row],[Team]],WP_Calc[],2,0)+VLOOKUP(Prep[[#This Row],[Team]],WP_Calc[],3,0)</f>
        <v>0</v>
      </c>
      <c r="F227" s="6" t="e">
        <f>Prep[[#This Row],[WP]]*0.25+Prep[[#This Row],[OWP]]*0.5+Prep[[#This Row],[OOWP]]*0.25</f>
        <v>#VALUE!</v>
      </c>
    </row>
    <row r="228" spans="1:6" x14ac:dyDescent="0.2">
      <c r="A228" t="str">
        <f>WP_Calc[[#This Row],[Team]]</f>
        <v/>
      </c>
      <c r="B228" s="6" t="str">
        <f>VLOOKUP(Prep[[#This Row],[Team]],WP_Calc[],4,0)</f>
        <v/>
      </c>
      <c r="C228" s="6" t="e">
        <f>VLOOKUP(Prep[[#This Row],[Team]],OWP_Calc[],2,0)</f>
        <v>#DIV/0!</v>
      </c>
      <c r="D228" s="6" t="e">
        <f>VLOOKUP(Prep[[#This Row],[Team]],OOWP_Calc[],2,0)</f>
        <v>#DIV/0!</v>
      </c>
      <c r="E228" s="3">
        <f>VLOOKUP(Prep[[#This Row],[Team]],WP_Calc[],2,0)+VLOOKUP(Prep[[#This Row],[Team]],WP_Calc[],3,0)</f>
        <v>0</v>
      </c>
      <c r="F228" s="6" t="e">
        <f>Prep[[#This Row],[WP]]*0.25+Prep[[#This Row],[OWP]]*0.5+Prep[[#This Row],[OOWP]]*0.25</f>
        <v>#VALUE!</v>
      </c>
    </row>
    <row r="229" spans="1:6" x14ac:dyDescent="0.2">
      <c r="A229" t="str">
        <f>WP_Calc[[#This Row],[Team]]</f>
        <v/>
      </c>
      <c r="B229" s="6" t="str">
        <f>VLOOKUP(Prep[[#This Row],[Team]],WP_Calc[],4,0)</f>
        <v/>
      </c>
      <c r="C229" s="6" t="e">
        <f>VLOOKUP(Prep[[#This Row],[Team]],OWP_Calc[],2,0)</f>
        <v>#DIV/0!</v>
      </c>
      <c r="D229" s="6" t="e">
        <f>VLOOKUP(Prep[[#This Row],[Team]],OOWP_Calc[],2,0)</f>
        <v>#DIV/0!</v>
      </c>
      <c r="E229" s="3">
        <f>VLOOKUP(Prep[[#This Row],[Team]],WP_Calc[],2,0)+VLOOKUP(Prep[[#This Row],[Team]],WP_Calc[],3,0)</f>
        <v>0</v>
      </c>
      <c r="F229" s="6" t="e">
        <f>Prep[[#This Row],[WP]]*0.25+Prep[[#This Row],[OWP]]*0.5+Prep[[#This Row],[OOWP]]*0.25</f>
        <v>#VALUE!</v>
      </c>
    </row>
    <row r="230" spans="1:6" x14ac:dyDescent="0.2">
      <c r="A230" t="str">
        <f>WP_Calc[[#This Row],[Team]]</f>
        <v/>
      </c>
      <c r="B230" s="6" t="str">
        <f>VLOOKUP(Prep[[#This Row],[Team]],WP_Calc[],4,0)</f>
        <v/>
      </c>
      <c r="C230" s="6" t="e">
        <f>VLOOKUP(Prep[[#This Row],[Team]],OWP_Calc[],2,0)</f>
        <v>#DIV/0!</v>
      </c>
      <c r="D230" s="6" t="e">
        <f>VLOOKUP(Prep[[#This Row],[Team]],OOWP_Calc[],2,0)</f>
        <v>#DIV/0!</v>
      </c>
      <c r="E230" s="3">
        <f>VLOOKUP(Prep[[#This Row],[Team]],WP_Calc[],2,0)+VLOOKUP(Prep[[#This Row],[Team]],WP_Calc[],3,0)</f>
        <v>0</v>
      </c>
      <c r="F230" s="6" t="e">
        <f>Prep[[#This Row],[WP]]*0.25+Prep[[#This Row],[OWP]]*0.5+Prep[[#This Row],[OOWP]]*0.25</f>
        <v>#VALUE!</v>
      </c>
    </row>
    <row r="231" spans="1:6" x14ac:dyDescent="0.2">
      <c r="A231" t="str">
        <f>WP_Calc[[#This Row],[Team]]</f>
        <v/>
      </c>
      <c r="B231" s="6" t="str">
        <f>VLOOKUP(Prep[[#This Row],[Team]],WP_Calc[],4,0)</f>
        <v/>
      </c>
      <c r="C231" s="6" t="e">
        <f>VLOOKUP(Prep[[#This Row],[Team]],OWP_Calc[],2,0)</f>
        <v>#DIV/0!</v>
      </c>
      <c r="D231" s="6" t="e">
        <f>VLOOKUP(Prep[[#This Row],[Team]],OOWP_Calc[],2,0)</f>
        <v>#DIV/0!</v>
      </c>
      <c r="E231" s="3">
        <f>VLOOKUP(Prep[[#This Row],[Team]],WP_Calc[],2,0)+VLOOKUP(Prep[[#This Row],[Team]],WP_Calc[],3,0)</f>
        <v>0</v>
      </c>
      <c r="F231" s="6" t="e">
        <f>Prep[[#This Row],[WP]]*0.25+Prep[[#This Row],[OWP]]*0.5+Prep[[#This Row],[OOWP]]*0.25</f>
        <v>#VALUE!</v>
      </c>
    </row>
    <row r="232" spans="1:6" x14ac:dyDescent="0.2">
      <c r="A232" t="str">
        <f>WP_Calc[[#This Row],[Team]]</f>
        <v/>
      </c>
      <c r="B232" s="6" t="str">
        <f>VLOOKUP(Prep[[#This Row],[Team]],WP_Calc[],4,0)</f>
        <v/>
      </c>
      <c r="C232" s="6" t="e">
        <f>VLOOKUP(Prep[[#This Row],[Team]],OWP_Calc[],2,0)</f>
        <v>#DIV/0!</v>
      </c>
      <c r="D232" s="6" t="e">
        <f>VLOOKUP(Prep[[#This Row],[Team]],OOWP_Calc[],2,0)</f>
        <v>#DIV/0!</v>
      </c>
      <c r="E232" s="3">
        <f>VLOOKUP(Prep[[#This Row],[Team]],WP_Calc[],2,0)+VLOOKUP(Prep[[#This Row],[Team]],WP_Calc[],3,0)</f>
        <v>0</v>
      </c>
      <c r="F232" s="6" t="e">
        <f>Prep[[#This Row],[WP]]*0.25+Prep[[#This Row],[OWP]]*0.5+Prep[[#This Row],[OOWP]]*0.25</f>
        <v>#VALUE!</v>
      </c>
    </row>
    <row r="233" spans="1:6" x14ac:dyDescent="0.2">
      <c r="A233" t="str">
        <f>WP_Calc[[#This Row],[Team]]</f>
        <v/>
      </c>
      <c r="B233" s="6" t="str">
        <f>VLOOKUP(Prep[[#This Row],[Team]],WP_Calc[],4,0)</f>
        <v/>
      </c>
      <c r="C233" s="6" t="e">
        <f>VLOOKUP(Prep[[#This Row],[Team]],OWP_Calc[],2,0)</f>
        <v>#DIV/0!</v>
      </c>
      <c r="D233" s="6" t="e">
        <f>VLOOKUP(Prep[[#This Row],[Team]],OOWP_Calc[],2,0)</f>
        <v>#DIV/0!</v>
      </c>
      <c r="E233" s="3">
        <f>VLOOKUP(Prep[[#This Row],[Team]],WP_Calc[],2,0)+VLOOKUP(Prep[[#This Row],[Team]],WP_Calc[],3,0)</f>
        <v>0</v>
      </c>
      <c r="F233" s="6" t="e">
        <f>Prep[[#This Row],[WP]]*0.25+Prep[[#This Row],[OWP]]*0.5+Prep[[#This Row],[OOWP]]*0.25</f>
        <v>#VALUE!</v>
      </c>
    </row>
    <row r="234" spans="1:6" x14ac:dyDescent="0.2">
      <c r="A234" t="e">
        <f>WP_Calc[[#This Row],[Team]]</f>
        <v>#VALUE!</v>
      </c>
      <c r="B234" s="6" t="e">
        <f>VLOOKUP(Prep[[#This Row],[Team]],WP_Calc[],4,0)</f>
        <v>#VALUE!</v>
      </c>
      <c r="C234" s="6" t="e">
        <f>VLOOKUP(Prep[[#This Row],[Team]],OWP_Calc[],2,0)</f>
        <v>#VALUE!</v>
      </c>
      <c r="D234" s="6" t="e">
        <f>VLOOKUP(Prep[[#This Row],[Team]],OOWP_Calc[],2,0)</f>
        <v>#VALUE!</v>
      </c>
      <c r="E234" s="3" t="e">
        <f>VLOOKUP(Prep[[#This Row],[Team]],WP_Calc[],2,0)+VLOOKUP(Prep[[#This Row],[Team]],WP_Calc[],3,0)</f>
        <v>#VALUE!</v>
      </c>
      <c r="F234" s="6" t="e">
        <f>Prep[[#This Row],[WP]]*0.25+Prep[[#This Row],[OWP]]*0.5+Prep[[#This Row],[OOWP]]*0.25</f>
        <v>#VALUE!</v>
      </c>
    </row>
    <row r="235" spans="1:6" x14ac:dyDescent="0.2">
      <c r="A235" t="e">
        <f>WP_Calc[[#This Row],[Team]]</f>
        <v>#VALUE!</v>
      </c>
      <c r="B235" s="6" t="e">
        <f>VLOOKUP(Prep[[#This Row],[Team]],WP_Calc[],4,0)</f>
        <v>#VALUE!</v>
      </c>
      <c r="C235" s="6" t="e">
        <f>VLOOKUP(Prep[[#This Row],[Team]],OWP_Calc[],2,0)</f>
        <v>#VALUE!</v>
      </c>
      <c r="D235" s="6" t="e">
        <f>VLOOKUP(Prep[[#This Row],[Team]],OOWP_Calc[],2,0)</f>
        <v>#VALUE!</v>
      </c>
      <c r="E235" s="3" t="e">
        <f>VLOOKUP(Prep[[#This Row],[Team]],WP_Calc[],2,0)+VLOOKUP(Prep[[#This Row],[Team]],WP_Calc[],3,0)</f>
        <v>#VALUE!</v>
      </c>
      <c r="F235" s="6" t="e">
        <f>Prep[[#This Row],[WP]]*0.25+Prep[[#This Row],[OWP]]*0.5+Prep[[#This Row],[OOWP]]*0.25</f>
        <v>#VALUE!</v>
      </c>
    </row>
    <row r="236" spans="1:6" x14ac:dyDescent="0.2">
      <c r="A236" t="e">
        <f>WP_Calc[[#This Row],[Team]]</f>
        <v>#VALUE!</v>
      </c>
      <c r="B236" s="6" t="e">
        <f>VLOOKUP(Prep[[#This Row],[Team]],WP_Calc[],4,0)</f>
        <v>#VALUE!</v>
      </c>
      <c r="C236" s="6" t="e">
        <f>VLOOKUP(Prep[[#This Row],[Team]],OWP_Calc[],2,0)</f>
        <v>#VALUE!</v>
      </c>
      <c r="D236" s="6" t="e">
        <f>VLOOKUP(Prep[[#This Row],[Team]],OOWP_Calc[],2,0)</f>
        <v>#VALUE!</v>
      </c>
      <c r="E236" s="3" t="e">
        <f>VLOOKUP(Prep[[#This Row],[Team]],WP_Calc[],2,0)+VLOOKUP(Prep[[#This Row],[Team]],WP_Calc[],3,0)</f>
        <v>#VALUE!</v>
      </c>
      <c r="F236" s="6" t="e">
        <f>Prep[[#This Row],[WP]]*0.25+Prep[[#This Row],[OWP]]*0.5+Prep[[#This Row],[OOWP]]*0.25</f>
        <v>#VALUE!</v>
      </c>
    </row>
    <row r="237" spans="1:6" x14ac:dyDescent="0.2">
      <c r="A237" t="e">
        <f>WP_Calc[[#This Row],[Team]]</f>
        <v>#VALUE!</v>
      </c>
      <c r="B237" s="6" t="e">
        <f>VLOOKUP(Prep[[#This Row],[Team]],WP_Calc[],4,0)</f>
        <v>#VALUE!</v>
      </c>
      <c r="C237" s="6" t="e">
        <f>VLOOKUP(Prep[[#This Row],[Team]],OWP_Calc[],2,0)</f>
        <v>#VALUE!</v>
      </c>
      <c r="D237" s="6" t="e">
        <f>VLOOKUP(Prep[[#This Row],[Team]],OOWP_Calc[],2,0)</f>
        <v>#VALUE!</v>
      </c>
      <c r="E237" s="3" t="e">
        <f>VLOOKUP(Prep[[#This Row],[Team]],WP_Calc[],2,0)+VLOOKUP(Prep[[#This Row],[Team]],WP_Calc[],3,0)</f>
        <v>#VALUE!</v>
      </c>
      <c r="F237" s="6" t="e">
        <f>Prep[[#This Row],[WP]]*0.25+Prep[[#This Row],[OWP]]*0.5+Prep[[#This Row],[OOWP]]*0.25</f>
        <v>#VALUE!</v>
      </c>
    </row>
    <row r="238" spans="1:6" x14ac:dyDescent="0.2">
      <c r="A238" t="e">
        <f>WP_Calc[[#This Row],[Team]]</f>
        <v>#VALUE!</v>
      </c>
      <c r="B238" s="6" t="e">
        <f>VLOOKUP(Prep[[#This Row],[Team]],WP_Calc[],4,0)</f>
        <v>#VALUE!</v>
      </c>
      <c r="C238" s="6" t="e">
        <f>VLOOKUP(Prep[[#This Row],[Team]],OWP_Calc[],2,0)</f>
        <v>#VALUE!</v>
      </c>
      <c r="D238" s="6" t="e">
        <f>VLOOKUP(Prep[[#This Row],[Team]],OOWP_Calc[],2,0)</f>
        <v>#VALUE!</v>
      </c>
      <c r="E238" s="3" t="e">
        <f>VLOOKUP(Prep[[#This Row],[Team]],WP_Calc[],2,0)+VLOOKUP(Prep[[#This Row],[Team]],WP_Calc[],3,0)</f>
        <v>#VALUE!</v>
      </c>
      <c r="F238" s="6" t="e">
        <f>Prep[[#This Row],[WP]]*0.25+Prep[[#This Row],[OWP]]*0.5+Prep[[#This Row],[OOWP]]*0.25</f>
        <v>#VALUE!</v>
      </c>
    </row>
    <row r="239" spans="1:6" x14ac:dyDescent="0.2">
      <c r="A239" t="e">
        <f>WP_Calc[[#This Row],[Team]]</f>
        <v>#VALUE!</v>
      </c>
      <c r="B239" s="6" t="e">
        <f>VLOOKUP(Prep[[#This Row],[Team]],WP_Calc[],4,0)</f>
        <v>#VALUE!</v>
      </c>
      <c r="C239" s="6" t="e">
        <f>VLOOKUP(Prep[[#This Row],[Team]],OWP_Calc[],2,0)</f>
        <v>#VALUE!</v>
      </c>
      <c r="D239" s="6" t="e">
        <f>VLOOKUP(Prep[[#This Row],[Team]],OOWP_Calc[],2,0)</f>
        <v>#VALUE!</v>
      </c>
      <c r="E239" s="3" t="e">
        <f>VLOOKUP(Prep[[#This Row],[Team]],WP_Calc[],2,0)+VLOOKUP(Prep[[#This Row],[Team]],WP_Calc[],3,0)</f>
        <v>#VALUE!</v>
      </c>
      <c r="F239" s="6" t="e">
        <f>Prep[[#This Row],[WP]]*0.25+Prep[[#This Row],[OWP]]*0.5+Prep[[#This Row],[OOWP]]*0.25</f>
        <v>#VALUE!</v>
      </c>
    </row>
    <row r="240" spans="1:6" x14ac:dyDescent="0.2">
      <c r="A240" t="e">
        <f>WP_Calc[[#This Row],[Team]]</f>
        <v>#VALUE!</v>
      </c>
      <c r="B240" s="6" t="e">
        <f>VLOOKUP(Prep[[#This Row],[Team]],WP_Calc[],4,0)</f>
        <v>#VALUE!</v>
      </c>
      <c r="C240" s="6" t="e">
        <f>VLOOKUP(Prep[[#This Row],[Team]],OWP_Calc[],2,0)</f>
        <v>#VALUE!</v>
      </c>
      <c r="D240" s="6" t="e">
        <f>VLOOKUP(Prep[[#This Row],[Team]],OOWP_Calc[],2,0)</f>
        <v>#VALUE!</v>
      </c>
      <c r="E240" s="3" t="e">
        <f>VLOOKUP(Prep[[#This Row],[Team]],WP_Calc[],2,0)+VLOOKUP(Prep[[#This Row],[Team]],WP_Calc[],3,0)</f>
        <v>#VALUE!</v>
      </c>
      <c r="F240" s="6" t="e">
        <f>Prep[[#This Row],[WP]]*0.25+Prep[[#This Row],[OWP]]*0.5+Prep[[#This Row],[OOWP]]*0.25</f>
        <v>#VALUE!</v>
      </c>
    </row>
    <row r="241" spans="1:6" x14ac:dyDescent="0.2">
      <c r="A241" t="e">
        <f>WP_Calc[[#This Row],[Team]]</f>
        <v>#VALUE!</v>
      </c>
      <c r="B241" s="6" t="e">
        <f>VLOOKUP(Prep[[#This Row],[Team]],WP_Calc[],4,0)</f>
        <v>#VALUE!</v>
      </c>
      <c r="C241" s="6" t="e">
        <f>VLOOKUP(Prep[[#This Row],[Team]],OWP_Calc[],2,0)</f>
        <v>#VALUE!</v>
      </c>
      <c r="D241" s="6" t="e">
        <f>VLOOKUP(Prep[[#This Row],[Team]],OOWP_Calc[],2,0)</f>
        <v>#VALUE!</v>
      </c>
      <c r="E241" s="3" t="e">
        <f>VLOOKUP(Prep[[#This Row],[Team]],WP_Calc[],2,0)+VLOOKUP(Prep[[#This Row],[Team]],WP_Calc[],3,0)</f>
        <v>#VALUE!</v>
      </c>
      <c r="F241" s="6" t="e">
        <f>Prep[[#This Row],[WP]]*0.25+Prep[[#This Row],[OWP]]*0.5+Prep[[#This Row],[OOWP]]*0.25</f>
        <v>#VALUE!</v>
      </c>
    </row>
    <row r="242" spans="1:6" x14ac:dyDescent="0.2">
      <c r="A242" t="e">
        <f>WP_Calc[[#This Row],[Team]]</f>
        <v>#VALUE!</v>
      </c>
      <c r="B242" s="6" t="e">
        <f>VLOOKUP(Prep[[#This Row],[Team]],WP_Calc[],4,0)</f>
        <v>#VALUE!</v>
      </c>
      <c r="C242" s="6" t="e">
        <f>VLOOKUP(Prep[[#This Row],[Team]],OWP_Calc[],2,0)</f>
        <v>#VALUE!</v>
      </c>
      <c r="D242" s="6" t="e">
        <f>VLOOKUP(Prep[[#This Row],[Team]],OOWP_Calc[],2,0)</f>
        <v>#VALUE!</v>
      </c>
      <c r="E242" s="3" t="e">
        <f>VLOOKUP(Prep[[#This Row],[Team]],WP_Calc[],2,0)+VLOOKUP(Prep[[#This Row],[Team]],WP_Calc[],3,0)</f>
        <v>#VALUE!</v>
      </c>
      <c r="F242" s="6" t="e">
        <f>Prep[[#This Row],[WP]]*0.25+Prep[[#This Row],[OWP]]*0.5+Prep[[#This Row],[OOWP]]*0.25</f>
        <v>#VALUE!</v>
      </c>
    </row>
    <row r="243" spans="1:6" x14ac:dyDescent="0.2">
      <c r="A243" t="e">
        <f>WP_Calc[[#This Row],[Team]]</f>
        <v>#VALUE!</v>
      </c>
      <c r="B243" s="6" t="e">
        <f>VLOOKUP(Prep[[#This Row],[Team]],WP_Calc[],4,0)</f>
        <v>#VALUE!</v>
      </c>
      <c r="C243" s="6" t="e">
        <f>VLOOKUP(Prep[[#This Row],[Team]],OWP_Calc[],2,0)</f>
        <v>#VALUE!</v>
      </c>
      <c r="D243" s="6" t="e">
        <f>VLOOKUP(Prep[[#This Row],[Team]],OOWP_Calc[],2,0)</f>
        <v>#VALUE!</v>
      </c>
      <c r="E243" s="3" t="e">
        <f>VLOOKUP(Prep[[#This Row],[Team]],WP_Calc[],2,0)+VLOOKUP(Prep[[#This Row],[Team]],WP_Calc[],3,0)</f>
        <v>#VALUE!</v>
      </c>
      <c r="F243" s="6" t="e">
        <f>Prep[[#This Row],[WP]]*0.25+Prep[[#This Row],[OWP]]*0.5+Prep[[#This Row],[OOWP]]*0.25</f>
        <v>#VALUE!</v>
      </c>
    </row>
    <row r="244" spans="1:6" x14ac:dyDescent="0.2">
      <c r="A244" t="e">
        <f>WP_Calc[[#This Row],[Team]]</f>
        <v>#VALUE!</v>
      </c>
      <c r="B244" s="6" t="e">
        <f>VLOOKUP(Prep[[#This Row],[Team]],WP_Calc[],4,0)</f>
        <v>#VALUE!</v>
      </c>
      <c r="C244" s="6" t="e">
        <f>VLOOKUP(Prep[[#This Row],[Team]],OWP_Calc[],2,0)</f>
        <v>#VALUE!</v>
      </c>
      <c r="D244" s="6" t="e">
        <f>VLOOKUP(Prep[[#This Row],[Team]],OOWP_Calc[],2,0)</f>
        <v>#VALUE!</v>
      </c>
      <c r="E244" s="3" t="e">
        <f>VLOOKUP(Prep[[#This Row],[Team]],WP_Calc[],2,0)+VLOOKUP(Prep[[#This Row],[Team]],WP_Calc[],3,0)</f>
        <v>#VALUE!</v>
      </c>
      <c r="F244" s="6" t="e">
        <f>Prep[[#This Row],[WP]]*0.25+Prep[[#This Row],[OWP]]*0.5+Prep[[#This Row],[OOWP]]*0.25</f>
        <v>#VALUE!</v>
      </c>
    </row>
    <row r="245" spans="1:6" x14ac:dyDescent="0.2">
      <c r="A245" t="e">
        <f>WP_Calc[[#This Row],[Team]]</f>
        <v>#VALUE!</v>
      </c>
      <c r="B245" s="6" t="e">
        <f>VLOOKUP(Prep[[#This Row],[Team]],WP_Calc[],4,0)</f>
        <v>#VALUE!</v>
      </c>
      <c r="C245" s="6" t="e">
        <f>VLOOKUP(Prep[[#This Row],[Team]],OWP_Calc[],2,0)</f>
        <v>#VALUE!</v>
      </c>
      <c r="D245" s="6" t="e">
        <f>VLOOKUP(Prep[[#This Row],[Team]],OOWP_Calc[],2,0)</f>
        <v>#VALUE!</v>
      </c>
      <c r="E245" s="3" t="e">
        <f>VLOOKUP(Prep[[#This Row],[Team]],WP_Calc[],2,0)+VLOOKUP(Prep[[#This Row],[Team]],WP_Calc[],3,0)</f>
        <v>#VALUE!</v>
      </c>
      <c r="F245" s="6" t="e">
        <f>Prep[[#This Row],[WP]]*0.25+Prep[[#This Row],[OWP]]*0.5+Prep[[#This Row],[OOWP]]*0.25</f>
        <v>#VALUE!</v>
      </c>
    </row>
    <row r="246" spans="1:6" x14ac:dyDescent="0.2">
      <c r="A246" t="e">
        <f>WP_Calc[[#This Row],[Team]]</f>
        <v>#VALUE!</v>
      </c>
      <c r="B246" s="6" t="e">
        <f>VLOOKUP(Prep[[#This Row],[Team]],WP_Calc[],4,0)</f>
        <v>#VALUE!</v>
      </c>
      <c r="C246" s="6" t="e">
        <f>VLOOKUP(Prep[[#This Row],[Team]],OWP_Calc[],2,0)</f>
        <v>#VALUE!</v>
      </c>
      <c r="D246" s="6" t="e">
        <f>VLOOKUP(Prep[[#This Row],[Team]],OOWP_Calc[],2,0)</f>
        <v>#VALUE!</v>
      </c>
      <c r="E246" s="3" t="e">
        <f>VLOOKUP(Prep[[#This Row],[Team]],WP_Calc[],2,0)+VLOOKUP(Prep[[#This Row],[Team]],WP_Calc[],3,0)</f>
        <v>#VALUE!</v>
      </c>
      <c r="F246" s="6" t="e">
        <f>Prep[[#This Row],[WP]]*0.25+Prep[[#This Row],[OWP]]*0.5+Prep[[#This Row],[OOWP]]*0.25</f>
        <v>#VALUE!</v>
      </c>
    </row>
    <row r="247" spans="1:6" x14ac:dyDescent="0.2">
      <c r="A247" t="e">
        <f>WP_Calc[[#This Row],[Team]]</f>
        <v>#VALUE!</v>
      </c>
      <c r="B247" s="6" t="e">
        <f>VLOOKUP(Prep[[#This Row],[Team]],WP_Calc[],4,0)</f>
        <v>#VALUE!</v>
      </c>
      <c r="C247" s="6" t="e">
        <f>VLOOKUP(Prep[[#This Row],[Team]],OWP_Calc[],2,0)</f>
        <v>#VALUE!</v>
      </c>
      <c r="D247" s="6" t="e">
        <f>VLOOKUP(Prep[[#This Row],[Team]],OOWP_Calc[],2,0)</f>
        <v>#VALUE!</v>
      </c>
      <c r="E247" s="3" t="e">
        <f>VLOOKUP(Prep[[#This Row],[Team]],WP_Calc[],2,0)+VLOOKUP(Prep[[#This Row],[Team]],WP_Calc[],3,0)</f>
        <v>#VALUE!</v>
      </c>
      <c r="F247" s="6" t="e">
        <f>Prep[[#This Row],[WP]]*0.25+Prep[[#This Row],[OWP]]*0.5+Prep[[#This Row],[OOWP]]*0.25</f>
        <v>#VALUE!</v>
      </c>
    </row>
    <row r="248" spans="1:6" x14ac:dyDescent="0.2">
      <c r="A248" t="e">
        <f>WP_Calc[[#This Row],[Team]]</f>
        <v>#VALUE!</v>
      </c>
      <c r="B248" s="6" t="e">
        <f>VLOOKUP(Prep[[#This Row],[Team]],WP_Calc[],4,0)</f>
        <v>#VALUE!</v>
      </c>
      <c r="C248" s="6" t="e">
        <f>VLOOKUP(Prep[[#This Row],[Team]],OWP_Calc[],2,0)</f>
        <v>#VALUE!</v>
      </c>
      <c r="D248" s="6" t="e">
        <f>VLOOKUP(Prep[[#This Row],[Team]],OOWP_Calc[],2,0)</f>
        <v>#VALUE!</v>
      </c>
      <c r="E248" s="3" t="e">
        <f>VLOOKUP(Prep[[#This Row],[Team]],WP_Calc[],2,0)+VLOOKUP(Prep[[#This Row],[Team]],WP_Calc[],3,0)</f>
        <v>#VALUE!</v>
      </c>
      <c r="F248" s="6" t="e">
        <f>Prep[[#This Row],[WP]]*0.25+Prep[[#This Row],[OWP]]*0.5+Prep[[#This Row],[OOWP]]*0.25</f>
        <v>#VALUE!</v>
      </c>
    </row>
    <row r="249" spans="1:6" x14ac:dyDescent="0.2">
      <c r="A249" t="e">
        <f>WP_Calc[[#This Row],[Team]]</f>
        <v>#VALUE!</v>
      </c>
      <c r="B249" s="6" t="e">
        <f>VLOOKUP(Prep[[#This Row],[Team]],WP_Calc[],4,0)</f>
        <v>#VALUE!</v>
      </c>
      <c r="C249" s="6" t="e">
        <f>VLOOKUP(Prep[[#This Row],[Team]],OWP_Calc[],2,0)</f>
        <v>#VALUE!</v>
      </c>
      <c r="D249" s="6" t="e">
        <f>VLOOKUP(Prep[[#This Row],[Team]],OOWP_Calc[],2,0)</f>
        <v>#VALUE!</v>
      </c>
      <c r="E249" s="3" t="e">
        <f>VLOOKUP(Prep[[#This Row],[Team]],WP_Calc[],2,0)+VLOOKUP(Prep[[#This Row],[Team]],WP_Calc[],3,0)</f>
        <v>#VALUE!</v>
      </c>
      <c r="F249" s="6" t="e">
        <f>Prep[[#This Row],[WP]]*0.25+Prep[[#This Row],[OWP]]*0.5+Prep[[#This Row],[OOWP]]*0.25</f>
        <v>#VALUE!</v>
      </c>
    </row>
    <row r="250" spans="1:6" x14ac:dyDescent="0.2">
      <c r="A250" t="e">
        <f>WP_Calc[[#This Row],[Team]]</f>
        <v>#VALUE!</v>
      </c>
      <c r="B250" s="6" t="e">
        <f>VLOOKUP(Prep[[#This Row],[Team]],WP_Calc[],4,0)</f>
        <v>#VALUE!</v>
      </c>
      <c r="C250" s="6" t="e">
        <f>VLOOKUP(Prep[[#This Row],[Team]],OWP_Calc[],2,0)</f>
        <v>#VALUE!</v>
      </c>
      <c r="D250" s="6" t="e">
        <f>VLOOKUP(Prep[[#This Row],[Team]],OOWP_Calc[],2,0)</f>
        <v>#VALUE!</v>
      </c>
      <c r="E250" s="3" t="e">
        <f>VLOOKUP(Prep[[#This Row],[Team]],WP_Calc[],2,0)+VLOOKUP(Prep[[#This Row],[Team]],WP_Calc[],3,0)</f>
        <v>#VALUE!</v>
      </c>
      <c r="F250" s="6" t="e">
        <f>Prep[[#This Row],[WP]]*0.25+Prep[[#This Row],[OWP]]*0.5+Prep[[#This Row],[OOWP]]*0.25</f>
        <v>#VALUE!</v>
      </c>
    </row>
    <row r="251" spans="1:6" x14ac:dyDescent="0.2">
      <c r="A251" t="e">
        <f>WP_Calc[[#This Row],[Team]]</f>
        <v>#VALUE!</v>
      </c>
      <c r="B251" s="6" t="e">
        <f>VLOOKUP(Prep[[#This Row],[Team]],WP_Calc[],4,0)</f>
        <v>#VALUE!</v>
      </c>
      <c r="C251" s="6" t="e">
        <f>VLOOKUP(Prep[[#This Row],[Team]],OWP_Calc[],2,0)</f>
        <v>#VALUE!</v>
      </c>
      <c r="D251" s="6" t="e">
        <f>VLOOKUP(Prep[[#This Row],[Team]],OOWP_Calc[],2,0)</f>
        <v>#VALUE!</v>
      </c>
      <c r="E251" s="3" t="e">
        <f>VLOOKUP(Prep[[#This Row],[Team]],WP_Calc[],2,0)+VLOOKUP(Prep[[#This Row],[Team]],WP_Calc[],3,0)</f>
        <v>#VALUE!</v>
      </c>
      <c r="F251" s="6" t="e">
        <f>Prep[[#This Row],[WP]]*0.25+Prep[[#This Row],[OWP]]*0.5+Prep[[#This Row],[OOWP]]*0.25</f>
        <v>#VALUE!</v>
      </c>
    </row>
    <row r="252" spans="1:6" x14ac:dyDescent="0.2">
      <c r="A252" t="e">
        <f>WP_Calc[[#This Row],[Team]]</f>
        <v>#VALUE!</v>
      </c>
      <c r="B252" s="6" t="e">
        <f>VLOOKUP(Prep[[#This Row],[Team]],WP_Calc[],4,0)</f>
        <v>#VALUE!</v>
      </c>
      <c r="C252" s="6" t="e">
        <f>VLOOKUP(Prep[[#This Row],[Team]],OWP_Calc[],2,0)</f>
        <v>#VALUE!</v>
      </c>
      <c r="D252" s="6" t="e">
        <f>VLOOKUP(Prep[[#This Row],[Team]],OOWP_Calc[],2,0)</f>
        <v>#VALUE!</v>
      </c>
      <c r="E252" s="3" t="e">
        <f>VLOOKUP(Prep[[#This Row],[Team]],WP_Calc[],2,0)+VLOOKUP(Prep[[#This Row],[Team]],WP_Calc[],3,0)</f>
        <v>#VALUE!</v>
      </c>
      <c r="F252" s="6" t="e">
        <f>Prep[[#This Row],[WP]]*0.25+Prep[[#This Row],[OWP]]*0.5+Prep[[#This Row],[OOWP]]*0.25</f>
        <v>#VALUE!</v>
      </c>
    </row>
    <row r="253" spans="1:6" x14ac:dyDescent="0.2">
      <c r="A253" t="e">
        <f>WP_Calc[[#This Row],[Team]]</f>
        <v>#VALUE!</v>
      </c>
      <c r="B253" s="6" t="e">
        <f>VLOOKUP(Prep[[#This Row],[Team]],WP_Calc[],4,0)</f>
        <v>#VALUE!</v>
      </c>
      <c r="C253" s="6" t="e">
        <f>VLOOKUP(Prep[[#This Row],[Team]],OWP_Calc[],2,0)</f>
        <v>#VALUE!</v>
      </c>
      <c r="D253" s="6" t="e">
        <f>VLOOKUP(Prep[[#This Row],[Team]],OOWP_Calc[],2,0)</f>
        <v>#VALUE!</v>
      </c>
      <c r="E253" s="3" t="e">
        <f>VLOOKUP(Prep[[#This Row],[Team]],WP_Calc[],2,0)+VLOOKUP(Prep[[#This Row],[Team]],WP_Calc[],3,0)</f>
        <v>#VALUE!</v>
      </c>
      <c r="F253" s="6" t="e">
        <f>Prep[[#This Row],[WP]]*0.25+Prep[[#This Row],[OWP]]*0.5+Prep[[#This Row],[OOWP]]*0.25</f>
        <v>#VALUE!</v>
      </c>
    </row>
    <row r="254" spans="1:6" x14ac:dyDescent="0.2">
      <c r="A254" t="e">
        <f>WP_Calc[[#This Row],[Team]]</f>
        <v>#VALUE!</v>
      </c>
      <c r="B254" s="6" t="e">
        <f>VLOOKUP(Prep[[#This Row],[Team]],WP_Calc[],4,0)</f>
        <v>#VALUE!</v>
      </c>
      <c r="C254" s="6" t="e">
        <f>VLOOKUP(Prep[[#This Row],[Team]],OWP_Calc[],2,0)</f>
        <v>#VALUE!</v>
      </c>
      <c r="D254" s="6" t="e">
        <f>VLOOKUP(Prep[[#This Row],[Team]],OOWP_Calc[],2,0)</f>
        <v>#VALUE!</v>
      </c>
      <c r="E254" s="3" t="e">
        <f>VLOOKUP(Prep[[#This Row],[Team]],WP_Calc[],2,0)+VLOOKUP(Prep[[#This Row],[Team]],WP_Calc[],3,0)</f>
        <v>#VALUE!</v>
      </c>
      <c r="F254" s="6" t="e">
        <f>Prep[[#This Row],[WP]]*0.25+Prep[[#This Row],[OWP]]*0.5+Prep[[#This Row],[OOWP]]*0.25</f>
        <v>#VALUE!</v>
      </c>
    </row>
    <row r="255" spans="1:6" x14ac:dyDescent="0.2">
      <c r="A255" t="e">
        <f>WP_Calc[[#This Row],[Team]]</f>
        <v>#VALUE!</v>
      </c>
      <c r="B255" s="6" t="e">
        <f>VLOOKUP(Prep[[#This Row],[Team]],WP_Calc[],4,0)</f>
        <v>#VALUE!</v>
      </c>
      <c r="C255" s="6" t="e">
        <f>VLOOKUP(Prep[[#This Row],[Team]],OWP_Calc[],2,0)</f>
        <v>#VALUE!</v>
      </c>
      <c r="D255" s="6" t="e">
        <f>VLOOKUP(Prep[[#This Row],[Team]],OOWP_Calc[],2,0)</f>
        <v>#VALUE!</v>
      </c>
      <c r="E255" s="3" t="e">
        <f>VLOOKUP(Prep[[#This Row],[Team]],WP_Calc[],2,0)+VLOOKUP(Prep[[#This Row],[Team]],WP_Calc[],3,0)</f>
        <v>#VALUE!</v>
      </c>
      <c r="F255" s="6" t="e">
        <f>Prep[[#This Row],[WP]]*0.25+Prep[[#This Row],[OWP]]*0.5+Prep[[#This Row],[OOWP]]*0.25</f>
        <v>#VALUE!</v>
      </c>
    </row>
    <row r="256" spans="1:6" x14ac:dyDescent="0.2">
      <c r="A256" t="e">
        <f>WP_Calc[[#This Row],[Team]]</f>
        <v>#VALUE!</v>
      </c>
      <c r="B256" s="6" t="e">
        <f>VLOOKUP(Prep[[#This Row],[Team]],WP_Calc[],4,0)</f>
        <v>#VALUE!</v>
      </c>
      <c r="C256" s="6" t="e">
        <f>VLOOKUP(Prep[[#This Row],[Team]],OWP_Calc[],2,0)</f>
        <v>#VALUE!</v>
      </c>
      <c r="D256" s="6" t="e">
        <f>VLOOKUP(Prep[[#This Row],[Team]],OOWP_Calc[],2,0)</f>
        <v>#VALUE!</v>
      </c>
      <c r="E256" s="3" t="e">
        <f>VLOOKUP(Prep[[#This Row],[Team]],WP_Calc[],2,0)+VLOOKUP(Prep[[#This Row],[Team]],WP_Calc[],3,0)</f>
        <v>#VALUE!</v>
      </c>
      <c r="F256" s="6" t="e">
        <f>Prep[[#This Row],[WP]]*0.25+Prep[[#This Row],[OWP]]*0.5+Prep[[#This Row],[OOWP]]*0.25</f>
        <v>#VALUE!</v>
      </c>
    </row>
    <row r="257" spans="1:6" x14ac:dyDescent="0.2">
      <c r="A257" t="e">
        <f>WP_Calc[[#This Row],[Team]]</f>
        <v>#VALUE!</v>
      </c>
      <c r="B257" s="6" t="e">
        <f>VLOOKUP(Prep[[#This Row],[Team]],WP_Calc[],4,0)</f>
        <v>#VALUE!</v>
      </c>
      <c r="C257" s="6" t="e">
        <f>VLOOKUP(Prep[[#This Row],[Team]],OWP_Calc[],2,0)</f>
        <v>#VALUE!</v>
      </c>
      <c r="D257" s="6" t="e">
        <f>VLOOKUP(Prep[[#This Row],[Team]],OOWP_Calc[],2,0)</f>
        <v>#VALUE!</v>
      </c>
      <c r="E257" s="3" t="e">
        <f>VLOOKUP(Prep[[#This Row],[Team]],WP_Calc[],2,0)+VLOOKUP(Prep[[#This Row],[Team]],WP_Calc[],3,0)</f>
        <v>#VALUE!</v>
      </c>
      <c r="F257" s="6" t="e">
        <f>Prep[[#This Row],[WP]]*0.25+Prep[[#This Row],[OWP]]*0.5+Prep[[#This Row],[OOWP]]*0.25</f>
        <v>#VALUE!</v>
      </c>
    </row>
    <row r="258" spans="1:6" x14ac:dyDescent="0.2">
      <c r="A258" t="e">
        <f>WP_Calc[[#This Row],[Team]]</f>
        <v>#VALUE!</v>
      </c>
      <c r="B258" s="6" t="e">
        <f>VLOOKUP(Prep[[#This Row],[Team]],WP_Calc[],4,0)</f>
        <v>#VALUE!</v>
      </c>
      <c r="C258" s="6" t="e">
        <f>VLOOKUP(Prep[[#This Row],[Team]],OWP_Calc[],2,0)</f>
        <v>#VALUE!</v>
      </c>
      <c r="D258" s="6" t="e">
        <f>VLOOKUP(Prep[[#This Row],[Team]],OOWP_Calc[],2,0)</f>
        <v>#VALUE!</v>
      </c>
      <c r="E258" s="3" t="e">
        <f>VLOOKUP(Prep[[#This Row],[Team]],WP_Calc[],2,0)+VLOOKUP(Prep[[#This Row],[Team]],WP_Calc[],3,0)</f>
        <v>#VALUE!</v>
      </c>
      <c r="F258" s="6" t="e">
        <f>Prep[[#This Row],[WP]]*0.25+Prep[[#This Row],[OWP]]*0.5+Prep[[#This Row],[OOWP]]*0.25</f>
        <v>#VALUE!</v>
      </c>
    </row>
    <row r="259" spans="1:6" x14ac:dyDescent="0.2">
      <c r="A259" t="e">
        <f>WP_Calc[[#This Row],[Team]]</f>
        <v>#VALUE!</v>
      </c>
      <c r="B259" s="6" t="e">
        <f>VLOOKUP(Prep[[#This Row],[Team]],WP_Calc[],4,0)</f>
        <v>#VALUE!</v>
      </c>
      <c r="C259" s="6" t="e">
        <f>VLOOKUP(Prep[[#This Row],[Team]],OWP_Calc[],2,0)</f>
        <v>#VALUE!</v>
      </c>
      <c r="D259" s="6" t="e">
        <f>VLOOKUP(Prep[[#This Row],[Team]],OOWP_Calc[],2,0)</f>
        <v>#VALUE!</v>
      </c>
      <c r="E259" s="3" t="e">
        <f>VLOOKUP(Prep[[#This Row],[Team]],WP_Calc[],2,0)+VLOOKUP(Prep[[#This Row],[Team]],WP_Calc[],3,0)</f>
        <v>#VALUE!</v>
      </c>
      <c r="F259" s="6" t="e">
        <f>Prep[[#This Row],[WP]]*0.25+Prep[[#This Row],[OWP]]*0.5+Prep[[#This Row],[OOWP]]*0.25</f>
        <v>#VALUE!</v>
      </c>
    </row>
    <row r="260" spans="1:6" x14ac:dyDescent="0.2">
      <c r="A260" t="e">
        <f>WP_Calc[[#This Row],[Team]]</f>
        <v>#VALUE!</v>
      </c>
      <c r="B260" s="6" t="e">
        <f>VLOOKUP(Prep[[#This Row],[Team]],WP_Calc[],4,0)</f>
        <v>#VALUE!</v>
      </c>
      <c r="C260" s="6" t="e">
        <f>VLOOKUP(Prep[[#This Row],[Team]],OWP_Calc[],2,0)</f>
        <v>#VALUE!</v>
      </c>
      <c r="D260" s="6" t="e">
        <f>VLOOKUP(Prep[[#This Row],[Team]],OOWP_Calc[],2,0)</f>
        <v>#VALUE!</v>
      </c>
      <c r="E260" s="3" t="e">
        <f>VLOOKUP(Prep[[#This Row],[Team]],WP_Calc[],2,0)+VLOOKUP(Prep[[#This Row],[Team]],WP_Calc[],3,0)</f>
        <v>#VALUE!</v>
      </c>
      <c r="F260" s="6" t="e">
        <f>Prep[[#This Row],[WP]]*0.25+Prep[[#This Row],[OWP]]*0.5+Prep[[#This Row],[OOWP]]*0.25</f>
        <v>#VALUE!</v>
      </c>
    </row>
    <row r="261" spans="1:6" x14ac:dyDescent="0.2">
      <c r="A261" t="e">
        <f>WP_Calc[[#This Row],[Team]]</f>
        <v>#VALUE!</v>
      </c>
      <c r="B261" s="6" t="e">
        <f>VLOOKUP(Prep[[#This Row],[Team]],WP_Calc[],4,0)</f>
        <v>#VALUE!</v>
      </c>
      <c r="C261" s="6" t="e">
        <f>VLOOKUP(Prep[[#This Row],[Team]],OWP_Calc[],2,0)</f>
        <v>#VALUE!</v>
      </c>
      <c r="D261" s="6" t="e">
        <f>VLOOKUP(Prep[[#This Row],[Team]],OOWP_Calc[],2,0)</f>
        <v>#VALUE!</v>
      </c>
      <c r="E261" s="3" t="e">
        <f>VLOOKUP(Prep[[#This Row],[Team]],WP_Calc[],2,0)+VLOOKUP(Prep[[#This Row],[Team]],WP_Calc[],3,0)</f>
        <v>#VALUE!</v>
      </c>
      <c r="F261" s="6" t="e">
        <f>Prep[[#This Row],[WP]]*0.25+Prep[[#This Row],[OWP]]*0.5+Prep[[#This Row],[OOWP]]*0.25</f>
        <v>#VALUE!</v>
      </c>
    </row>
    <row r="262" spans="1:6" x14ac:dyDescent="0.2">
      <c r="A262" t="e">
        <f>WP_Calc[[#This Row],[Team]]</f>
        <v>#VALUE!</v>
      </c>
      <c r="B262" s="6" t="e">
        <f>VLOOKUP(Prep[[#This Row],[Team]],WP_Calc[],4,0)</f>
        <v>#VALUE!</v>
      </c>
      <c r="C262" s="6" t="e">
        <f>VLOOKUP(Prep[[#This Row],[Team]],OWP_Calc[],2,0)</f>
        <v>#VALUE!</v>
      </c>
      <c r="D262" s="6" t="e">
        <f>VLOOKUP(Prep[[#This Row],[Team]],OOWP_Calc[],2,0)</f>
        <v>#VALUE!</v>
      </c>
      <c r="E262" s="3" t="e">
        <f>VLOOKUP(Prep[[#This Row],[Team]],WP_Calc[],2,0)+VLOOKUP(Prep[[#This Row],[Team]],WP_Calc[],3,0)</f>
        <v>#VALUE!</v>
      </c>
      <c r="F262" s="6" t="e">
        <f>Prep[[#This Row],[WP]]*0.25+Prep[[#This Row],[OWP]]*0.5+Prep[[#This Row],[OOWP]]*0.25</f>
        <v>#VALUE!</v>
      </c>
    </row>
    <row r="263" spans="1:6" x14ac:dyDescent="0.2">
      <c r="A263" t="e">
        <f>WP_Calc[[#This Row],[Team]]</f>
        <v>#VALUE!</v>
      </c>
      <c r="B263" s="6" t="e">
        <f>VLOOKUP(Prep[[#This Row],[Team]],WP_Calc[],4,0)</f>
        <v>#VALUE!</v>
      </c>
      <c r="C263" s="6" t="e">
        <f>VLOOKUP(Prep[[#This Row],[Team]],OWP_Calc[],2,0)</f>
        <v>#VALUE!</v>
      </c>
      <c r="D263" s="6" t="e">
        <f>VLOOKUP(Prep[[#This Row],[Team]],OOWP_Calc[],2,0)</f>
        <v>#VALUE!</v>
      </c>
      <c r="E263" s="3" t="e">
        <f>VLOOKUP(Prep[[#This Row],[Team]],WP_Calc[],2,0)+VLOOKUP(Prep[[#This Row],[Team]],WP_Calc[],3,0)</f>
        <v>#VALUE!</v>
      </c>
      <c r="F263" s="6" t="e">
        <f>Prep[[#This Row],[WP]]*0.25+Prep[[#This Row],[OWP]]*0.5+Prep[[#This Row],[OOWP]]*0.25</f>
        <v>#VALUE!</v>
      </c>
    </row>
    <row r="264" spans="1:6" x14ac:dyDescent="0.2">
      <c r="A264" t="e">
        <f>WP_Calc[[#This Row],[Team]]</f>
        <v>#VALUE!</v>
      </c>
      <c r="B264" s="6" t="e">
        <f>VLOOKUP(Prep[[#This Row],[Team]],WP_Calc[],4,0)</f>
        <v>#VALUE!</v>
      </c>
      <c r="C264" s="6" t="e">
        <f>VLOOKUP(Prep[[#This Row],[Team]],OWP_Calc[],2,0)</f>
        <v>#VALUE!</v>
      </c>
      <c r="D264" s="6" t="e">
        <f>VLOOKUP(Prep[[#This Row],[Team]],OOWP_Calc[],2,0)</f>
        <v>#VALUE!</v>
      </c>
      <c r="E264" s="3" t="e">
        <f>VLOOKUP(Prep[[#This Row],[Team]],WP_Calc[],2,0)+VLOOKUP(Prep[[#This Row],[Team]],WP_Calc[],3,0)</f>
        <v>#VALUE!</v>
      </c>
      <c r="F264" s="6" t="e">
        <f>Prep[[#This Row],[WP]]*0.25+Prep[[#This Row],[OWP]]*0.5+Prep[[#This Row],[OOWP]]*0.25</f>
        <v>#VALUE!</v>
      </c>
    </row>
    <row r="265" spans="1:6" x14ac:dyDescent="0.2">
      <c r="A265" t="e">
        <f>WP_Calc[[#This Row],[Team]]</f>
        <v>#VALUE!</v>
      </c>
      <c r="B265" s="6" t="e">
        <f>VLOOKUP(Prep[[#This Row],[Team]],WP_Calc[],4,0)</f>
        <v>#VALUE!</v>
      </c>
      <c r="C265" s="6" t="e">
        <f>VLOOKUP(Prep[[#This Row],[Team]],OWP_Calc[],2,0)</f>
        <v>#VALUE!</v>
      </c>
      <c r="D265" s="6" t="e">
        <f>VLOOKUP(Prep[[#This Row],[Team]],OOWP_Calc[],2,0)</f>
        <v>#VALUE!</v>
      </c>
      <c r="E265" s="3" t="e">
        <f>VLOOKUP(Prep[[#This Row],[Team]],WP_Calc[],2,0)+VLOOKUP(Prep[[#This Row],[Team]],WP_Calc[],3,0)</f>
        <v>#VALUE!</v>
      </c>
      <c r="F265" s="6" t="e">
        <f>Prep[[#This Row],[WP]]*0.25+Prep[[#This Row],[OWP]]*0.5+Prep[[#This Row],[OOWP]]*0.25</f>
        <v>#VALUE!</v>
      </c>
    </row>
    <row r="266" spans="1:6" x14ac:dyDescent="0.2">
      <c r="A266" t="e">
        <f>WP_Calc[[#This Row],[Team]]</f>
        <v>#VALUE!</v>
      </c>
      <c r="B266" s="6" t="e">
        <f>VLOOKUP(Prep[[#This Row],[Team]],WP_Calc[],4,0)</f>
        <v>#VALUE!</v>
      </c>
      <c r="C266" s="6" t="e">
        <f>VLOOKUP(Prep[[#This Row],[Team]],OWP_Calc[],2,0)</f>
        <v>#VALUE!</v>
      </c>
      <c r="D266" s="6" t="e">
        <f>VLOOKUP(Prep[[#This Row],[Team]],OOWP_Calc[],2,0)</f>
        <v>#VALUE!</v>
      </c>
      <c r="E266" s="3" t="e">
        <f>VLOOKUP(Prep[[#This Row],[Team]],WP_Calc[],2,0)+VLOOKUP(Prep[[#This Row],[Team]],WP_Calc[],3,0)</f>
        <v>#VALUE!</v>
      </c>
      <c r="F266" s="6" t="e">
        <f>Prep[[#This Row],[WP]]*0.25+Prep[[#This Row],[OWP]]*0.5+Prep[[#This Row],[OOWP]]*0.25</f>
        <v>#VALUE!</v>
      </c>
    </row>
    <row r="267" spans="1:6" x14ac:dyDescent="0.2">
      <c r="A267" t="e">
        <f>WP_Calc[[#This Row],[Team]]</f>
        <v>#VALUE!</v>
      </c>
      <c r="B267" s="6" t="e">
        <f>VLOOKUP(Prep[[#This Row],[Team]],WP_Calc[],4,0)</f>
        <v>#VALUE!</v>
      </c>
      <c r="C267" s="6" t="e">
        <f>VLOOKUP(Prep[[#This Row],[Team]],OWP_Calc[],2,0)</f>
        <v>#VALUE!</v>
      </c>
      <c r="D267" s="6" t="e">
        <f>VLOOKUP(Prep[[#This Row],[Team]],OOWP_Calc[],2,0)</f>
        <v>#VALUE!</v>
      </c>
      <c r="E267" s="3" t="e">
        <f>VLOOKUP(Prep[[#This Row],[Team]],WP_Calc[],2,0)+VLOOKUP(Prep[[#This Row],[Team]],WP_Calc[],3,0)</f>
        <v>#VALUE!</v>
      </c>
      <c r="F267" s="6" t="e">
        <f>Prep[[#This Row],[WP]]*0.25+Prep[[#This Row],[OWP]]*0.5+Prep[[#This Row],[OOWP]]*0.25</f>
        <v>#VALUE!</v>
      </c>
    </row>
    <row r="268" spans="1:6" x14ac:dyDescent="0.2">
      <c r="A268" t="e">
        <f>WP_Calc[[#This Row],[Team]]</f>
        <v>#VALUE!</v>
      </c>
      <c r="B268" s="6" t="e">
        <f>VLOOKUP(Prep[[#This Row],[Team]],WP_Calc[],4,0)</f>
        <v>#VALUE!</v>
      </c>
      <c r="C268" s="6" t="e">
        <f>VLOOKUP(Prep[[#This Row],[Team]],OWP_Calc[],2,0)</f>
        <v>#VALUE!</v>
      </c>
      <c r="D268" s="6" t="e">
        <f>VLOOKUP(Prep[[#This Row],[Team]],OOWP_Calc[],2,0)</f>
        <v>#VALUE!</v>
      </c>
      <c r="E268" s="3" t="e">
        <f>VLOOKUP(Prep[[#This Row],[Team]],WP_Calc[],2,0)+VLOOKUP(Prep[[#This Row],[Team]],WP_Calc[],3,0)</f>
        <v>#VALUE!</v>
      </c>
      <c r="F268" s="6" t="e">
        <f>Prep[[#This Row],[WP]]*0.25+Prep[[#This Row],[OWP]]*0.5+Prep[[#This Row],[OOWP]]*0.25</f>
        <v>#VALUE!</v>
      </c>
    </row>
    <row r="269" spans="1:6" x14ac:dyDescent="0.2">
      <c r="A269" t="e">
        <f>WP_Calc[[#This Row],[Team]]</f>
        <v>#VALUE!</v>
      </c>
      <c r="B269" s="6" t="e">
        <f>VLOOKUP(Prep[[#This Row],[Team]],WP_Calc[],4,0)</f>
        <v>#VALUE!</v>
      </c>
      <c r="C269" s="6" t="e">
        <f>VLOOKUP(Prep[[#This Row],[Team]],OWP_Calc[],2,0)</f>
        <v>#VALUE!</v>
      </c>
      <c r="D269" s="6" t="e">
        <f>VLOOKUP(Prep[[#This Row],[Team]],OOWP_Calc[],2,0)</f>
        <v>#VALUE!</v>
      </c>
      <c r="E269" s="3" t="e">
        <f>VLOOKUP(Prep[[#This Row],[Team]],WP_Calc[],2,0)+VLOOKUP(Prep[[#This Row],[Team]],WP_Calc[],3,0)</f>
        <v>#VALUE!</v>
      </c>
      <c r="F269" s="6" t="e">
        <f>Prep[[#This Row],[WP]]*0.25+Prep[[#This Row],[OWP]]*0.5+Prep[[#This Row],[OOWP]]*0.25</f>
        <v>#VALUE!</v>
      </c>
    </row>
    <row r="270" spans="1:6" x14ac:dyDescent="0.2">
      <c r="A270" t="e">
        <f>WP_Calc[[#This Row],[Team]]</f>
        <v>#VALUE!</v>
      </c>
      <c r="B270" s="6" t="e">
        <f>VLOOKUP(Prep[[#This Row],[Team]],WP_Calc[],4,0)</f>
        <v>#VALUE!</v>
      </c>
      <c r="C270" s="6" t="e">
        <f>VLOOKUP(Prep[[#This Row],[Team]],OWP_Calc[],2,0)</f>
        <v>#VALUE!</v>
      </c>
      <c r="D270" s="6" t="e">
        <f>VLOOKUP(Prep[[#This Row],[Team]],OOWP_Calc[],2,0)</f>
        <v>#VALUE!</v>
      </c>
      <c r="E270" s="3" t="e">
        <f>VLOOKUP(Prep[[#This Row],[Team]],WP_Calc[],2,0)+VLOOKUP(Prep[[#This Row],[Team]],WP_Calc[],3,0)</f>
        <v>#VALUE!</v>
      </c>
      <c r="F270" s="6" t="e">
        <f>Prep[[#This Row],[WP]]*0.25+Prep[[#This Row],[OWP]]*0.5+Prep[[#This Row],[OOWP]]*0.25</f>
        <v>#VALUE!</v>
      </c>
    </row>
    <row r="271" spans="1:6" x14ac:dyDescent="0.2">
      <c r="A271" t="e">
        <f>WP_Calc[[#This Row],[Team]]</f>
        <v>#VALUE!</v>
      </c>
      <c r="B271" s="6" t="e">
        <f>VLOOKUP(Prep[[#This Row],[Team]],WP_Calc[],4,0)</f>
        <v>#VALUE!</v>
      </c>
      <c r="C271" s="6" t="e">
        <f>VLOOKUP(Prep[[#This Row],[Team]],OWP_Calc[],2,0)</f>
        <v>#VALUE!</v>
      </c>
      <c r="D271" s="6" t="e">
        <f>VLOOKUP(Prep[[#This Row],[Team]],OOWP_Calc[],2,0)</f>
        <v>#VALUE!</v>
      </c>
      <c r="E271" s="3" t="e">
        <f>VLOOKUP(Prep[[#This Row],[Team]],WP_Calc[],2,0)+VLOOKUP(Prep[[#This Row],[Team]],WP_Calc[],3,0)</f>
        <v>#VALUE!</v>
      </c>
      <c r="F271" s="6" t="e">
        <f>Prep[[#This Row],[WP]]*0.25+Prep[[#This Row],[OWP]]*0.5+Prep[[#This Row],[OOWP]]*0.25</f>
        <v>#VALUE!</v>
      </c>
    </row>
    <row r="272" spans="1:6" x14ac:dyDescent="0.2">
      <c r="A272" t="e">
        <f>WP_Calc[[#This Row],[Team]]</f>
        <v>#VALUE!</v>
      </c>
      <c r="B272" s="6" t="e">
        <f>VLOOKUP(Prep[[#This Row],[Team]],WP_Calc[],4,0)</f>
        <v>#VALUE!</v>
      </c>
      <c r="C272" s="6" t="e">
        <f>VLOOKUP(Prep[[#This Row],[Team]],OWP_Calc[],2,0)</f>
        <v>#VALUE!</v>
      </c>
      <c r="D272" s="6" t="e">
        <f>VLOOKUP(Prep[[#This Row],[Team]],OOWP_Calc[],2,0)</f>
        <v>#VALUE!</v>
      </c>
      <c r="E272" s="3" t="e">
        <f>VLOOKUP(Prep[[#This Row],[Team]],WP_Calc[],2,0)+VLOOKUP(Prep[[#This Row],[Team]],WP_Calc[],3,0)</f>
        <v>#VALUE!</v>
      </c>
      <c r="F272" s="6" t="e">
        <f>Prep[[#This Row],[WP]]*0.25+Prep[[#This Row],[OWP]]*0.5+Prep[[#This Row],[OOWP]]*0.25</f>
        <v>#VALUE!</v>
      </c>
    </row>
    <row r="273" spans="1:6" x14ac:dyDescent="0.2">
      <c r="A273" t="e">
        <f>WP_Calc[[#This Row],[Team]]</f>
        <v>#VALUE!</v>
      </c>
      <c r="B273" s="6" t="e">
        <f>VLOOKUP(Prep[[#This Row],[Team]],WP_Calc[],4,0)</f>
        <v>#VALUE!</v>
      </c>
      <c r="C273" s="6" t="e">
        <f>VLOOKUP(Prep[[#This Row],[Team]],OWP_Calc[],2,0)</f>
        <v>#VALUE!</v>
      </c>
      <c r="D273" s="6" t="e">
        <f>VLOOKUP(Prep[[#This Row],[Team]],OOWP_Calc[],2,0)</f>
        <v>#VALUE!</v>
      </c>
      <c r="E273" s="3" t="e">
        <f>VLOOKUP(Prep[[#This Row],[Team]],WP_Calc[],2,0)+VLOOKUP(Prep[[#This Row],[Team]],WP_Calc[],3,0)</f>
        <v>#VALUE!</v>
      </c>
      <c r="F273" s="6" t="e">
        <f>Prep[[#This Row],[WP]]*0.25+Prep[[#This Row],[OWP]]*0.5+Prep[[#This Row],[OOWP]]*0.25</f>
        <v>#VALUE!</v>
      </c>
    </row>
    <row r="274" spans="1:6" x14ac:dyDescent="0.2">
      <c r="A274" t="e">
        <f>WP_Calc[[#This Row],[Team]]</f>
        <v>#VALUE!</v>
      </c>
      <c r="B274" s="6" t="e">
        <f>VLOOKUP(Prep[[#This Row],[Team]],WP_Calc[],4,0)</f>
        <v>#VALUE!</v>
      </c>
      <c r="C274" s="6" t="e">
        <f>VLOOKUP(Prep[[#This Row],[Team]],OWP_Calc[],2,0)</f>
        <v>#VALUE!</v>
      </c>
      <c r="D274" s="6" t="e">
        <f>VLOOKUP(Prep[[#This Row],[Team]],OOWP_Calc[],2,0)</f>
        <v>#VALUE!</v>
      </c>
      <c r="E274" s="3" t="e">
        <f>VLOOKUP(Prep[[#This Row],[Team]],WP_Calc[],2,0)+VLOOKUP(Prep[[#This Row],[Team]],WP_Calc[],3,0)</f>
        <v>#VALUE!</v>
      </c>
      <c r="F274" s="6" t="e">
        <f>Prep[[#This Row],[WP]]*0.25+Prep[[#This Row],[OWP]]*0.5+Prep[[#This Row],[OOWP]]*0.25</f>
        <v>#VALUE!</v>
      </c>
    </row>
    <row r="275" spans="1:6" x14ac:dyDescent="0.2">
      <c r="A275" t="e">
        <f>WP_Calc[[#This Row],[Team]]</f>
        <v>#VALUE!</v>
      </c>
      <c r="B275" s="6" t="e">
        <f>VLOOKUP(Prep[[#This Row],[Team]],WP_Calc[],4,0)</f>
        <v>#VALUE!</v>
      </c>
      <c r="C275" s="6" t="e">
        <f>VLOOKUP(Prep[[#This Row],[Team]],OWP_Calc[],2,0)</f>
        <v>#VALUE!</v>
      </c>
      <c r="D275" s="6" t="e">
        <f>VLOOKUP(Prep[[#This Row],[Team]],OOWP_Calc[],2,0)</f>
        <v>#VALUE!</v>
      </c>
      <c r="E275" s="3" t="e">
        <f>VLOOKUP(Prep[[#This Row],[Team]],WP_Calc[],2,0)+VLOOKUP(Prep[[#This Row],[Team]],WP_Calc[],3,0)</f>
        <v>#VALUE!</v>
      </c>
      <c r="F275" s="6" t="e">
        <f>Prep[[#This Row],[WP]]*0.25+Prep[[#This Row],[OWP]]*0.5+Prep[[#This Row],[OOWP]]*0.25</f>
        <v>#VALUE!</v>
      </c>
    </row>
    <row r="276" spans="1:6" x14ac:dyDescent="0.2">
      <c r="A276" t="e">
        <f>WP_Calc[[#This Row],[Team]]</f>
        <v>#VALUE!</v>
      </c>
      <c r="B276" s="6" t="e">
        <f>VLOOKUP(Prep[[#This Row],[Team]],WP_Calc[],4,0)</f>
        <v>#VALUE!</v>
      </c>
      <c r="C276" s="6" t="e">
        <f>VLOOKUP(Prep[[#This Row],[Team]],OWP_Calc[],2,0)</f>
        <v>#VALUE!</v>
      </c>
      <c r="D276" s="6" t="e">
        <f>VLOOKUP(Prep[[#This Row],[Team]],OOWP_Calc[],2,0)</f>
        <v>#VALUE!</v>
      </c>
      <c r="E276" s="3" t="e">
        <f>VLOOKUP(Prep[[#This Row],[Team]],WP_Calc[],2,0)+VLOOKUP(Prep[[#This Row],[Team]],WP_Calc[],3,0)</f>
        <v>#VALUE!</v>
      </c>
      <c r="F276" s="6" t="e">
        <f>Prep[[#This Row],[WP]]*0.25+Prep[[#This Row],[OWP]]*0.5+Prep[[#This Row],[OOWP]]*0.25</f>
        <v>#VALUE!</v>
      </c>
    </row>
    <row r="277" spans="1:6" x14ac:dyDescent="0.2">
      <c r="A277" t="e">
        <f>WP_Calc[[#This Row],[Team]]</f>
        <v>#VALUE!</v>
      </c>
      <c r="B277" s="6" t="e">
        <f>VLOOKUP(Prep[[#This Row],[Team]],WP_Calc[],4,0)</f>
        <v>#VALUE!</v>
      </c>
      <c r="C277" s="6" t="e">
        <f>VLOOKUP(Prep[[#This Row],[Team]],OWP_Calc[],2,0)</f>
        <v>#VALUE!</v>
      </c>
      <c r="D277" s="6" t="e">
        <f>VLOOKUP(Prep[[#This Row],[Team]],OOWP_Calc[],2,0)</f>
        <v>#VALUE!</v>
      </c>
      <c r="E277" s="3" t="e">
        <f>VLOOKUP(Prep[[#This Row],[Team]],WP_Calc[],2,0)+VLOOKUP(Prep[[#This Row],[Team]],WP_Calc[],3,0)</f>
        <v>#VALUE!</v>
      </c>
      <c r="F277" s="6" t="e">
        <f>Prep[[#This Row],[WP]]*0.25+Prep[[#This Row],[OWP]]*0.5+Prep[[#This Row],[OOWP]]*0.25</f>
        <v>#VALUE!</v>
      </c>
    </row>
    <row r="278" spans="1:6" x14ac:dyDescent="0.2">
      <c r="A278" t="e">
        <f>WP_Calc[[#This Row],[Team]]</f>
        <v>#VALUE!</v>
      </c>
      <c r="B278" s="6" t="e">
        <f>VLOOKUP(Prep[[#This Row],[Team]],WP_Calc[],4,0)</f>
        <v>#VALUE!</v>
      </c>
      <c r="C278" s="6" t="e">
        <f>VLOOKUP(Prep[[#This Row],[Team]],OWP_Calc[],2,0)</f>
        <v>#VALUE!</v>
      </c>
      <c r="D278" s="6" t="e">
        <f>VLOOKUP(Prep[[#This Row],[Team]],OOWP_Calc[],2,0)</f>
        <v>#VALUE!</v>
      </c>
      <c r="E278" s="3" t="e">
        <f>VLOOKUP(Prep[[#This Row],[Team]],WP_Calc[],2,0)+VLOOKUP(Prep[[#This Row],[Team]],WP_Calc[],3,0)</f>
        <v>#VALUE!</v>
      </c>
      <c r="F278" s="6" t="e">
        <f>Prep[[#This Row],[WP]]*0.25+Prep[[#This Row],[OWP]]*0.5+Prep[[#This Row],[OOWP]]*0.25</f>
        <v>#VALUE!</v>
      </c>
    </row>
    <row r="279" spans="1:6" x14ac:dyDescent="0.2">
      <c r="A279" t="e">
        <f>WP_Calc[[#This Row],[Team]]</f>
        <v>#VALUE!</v>
      </c>
      <c r="B279" s="6" t="e">
        <f>VLOOKUP(Prep[[#This Row],[Team]],WP_Calc[],4,0)</f>
        <v>#VALUE!</v>
      </c>
      <c r="C279" s="6" t="e">
        <f>VLOOKUP(Prep[[#This Row],[Team]],OWP_Calc[],2,0)</f>
        <v>#VALUE!</v>
      </c>
      <c r="D279" s="6" t="e">
        <f>VLOOKUP(Prep[[#This Row],[Team]],OOWP_Calc[],2,0)</f>
        <v>#VALUE!</v>
      </c>
      <c r="E279" s="3" t="e">
        <f>VLOOKUP(Prep[[#This Row],[Team]],WP_Calc[],2,0)+VLOOKUP(Prep[[#This Row],[Team]],WP_Calc[],3,0)</f>
        <v>#VALUE!</v>
      </c>
      <c r="F279" s="6" t="e">
        <f>Prep[[#This Row],[WP]]*0.25+Prep[[#This Row],[OWP]]*0.5+Prep[[#This Row],[OOWP]]*0.25</f>
        <v>#VALUE!</v>
      </c>
    </row>
    <row r="280" spans="1:6" x14ac:dyDescent="0.2">
      <c r="A280" t="e">
        <f>WP_Calc[[#This Row],[Team]]</f>
        <v>#VALUE!</v>
      </c>
      <c r="B280" s="6" t="e">
        <f>VLOOKUP(Prep[[#This Row],[Team]],WP_Calc[],4,0)</f>
        <v>#VALUE!</v>
      </c>
      <c r="C280" s="6" t="e">
        <f>VLOOKUP(Prep[[#This Row],[Team]],OWP_Calc[],2,0)</f>
        <v>#VALUE!</v>
      </c>
      <c r="D280" s="6" t="e">
        <f>VLOOKUP(Prep[[#This Row],[Team]],OOWP_Calc[],2,0)</f>
        <v>#VALUE!</v>
      </c>
      <c r="E280" s="3" t="e">
        <f>VLOOKUP(Prep[[#This Row],[Team]],WP_Calc[],2,0)+VLOOKUP(Prep[[#This Row],[Team]],WP_Calc[],3,0)</f>
        <v>#VALUE!</v>
      </c>
      <c r="F280" s="6" t="e">
        <f>Prep[[#This Row],[WP]]*0.25+Prep[[#This Row],[OWP]]*0.5+Prep[[#This Row],[OOWP]]*0.25</f>
        <v>#VALUE!</v>
      </c>
    </row>
    <row r="281" spans="1:6" x14ac:dyDescent="0.2">
      <c r="A281" t="e">
        <f>WP_Calc[[#This Row],[Team]]</f>
        <v>#VALUE!</v>
      </c>
      <c r="B281" s="6" t="e">
        <f>VLOOKUP(Prep[[#This Row],[Team]],WP_Calc[],4,0)</f>
        <v>#VALUE!</v>
      </c>
      <c r="C281" s="6" t="e">
        <f>VLOOKUP(Prep[[#This Row],[Team]],OWP_Calc[],2,0)</f>
        <v>#VALUE!</v>
      </c>
      <c r="D281" s="6" t="e">
        <f>VLOOKUP(Prep[[#This Row],[Team]],OOWP_Calc[],2,0)</f>
        <v>#VALUE!</v>
      </c>
      <c r="E281" s="3" t="e">
        <f>VLOOKUP(Prep[[#This Row],[Team]],WP_Calc[],2,0)+VLOOKUP(Prep[[#This Row],[Team]],WP_Calc[],3,0)</f>
        <v>#VALUE!</v>
      </c>
      <c r="F281" s="6" t="e">
        <f>Prep[[#This Row],[WP]]*0.25+Prep[[#This Row],[OWP]]*0.5+Prep[[#This Row],[OOWP]]*0.25</f>
        <v>#VALUE!</v>
      </c>
    </row>
    <row r="282" spans="1:6" x14ac:dyDescent="0.2">
      <c r="A282" t="e">
        <f>WP_Calc[[#This Row],[Team]]</f>
        <v>#VALUE!</v>
      </c>
      <c r="B282" s="6" t="e">
        <f>VLOOKUP(Prep[[#This Row],[Team]],WP_Calc[],4,0)</f>
        <v>#VALUE!</v>
      </c>
      <c r="C282" s="6" t="e">
        <f>VLOOKUP(Prep[[#This Row],[Team]],OWP_Calc[],2,0)</f>
        <v>#VALUE!</v>
      </c>
      <c r="D282" s="6" t="e">
        <f>VLOOKUP(Prep[[#This Row],[Team]],OOWP_Calc[],2,0)</f>
        <v>#VALUE!</v>
      </c>
      <c r="E282" s="3" t="e">
        <f>VLOOKUP(Prep[[#This Row],[Team]],WP_Calc[],2,0)+VLOOKUP(Prep[[#This Row],[Team]],WP_Calc[],3,0)</f>
        <v>#VALUE!</v>
      </c>
      <c r="F282" s="6" t="e">
        <f>Prep[[#This Row],[WP]]*0.25+Prep[[#This Row],[OWP]]*0.5+Prep[[#This Row],[OOWP]]*0.25</f>
        <v>#VALUE!</v>
      </c>
    </row>
    <row r="283" spans="1:6" x14ac:dyDescent="0.2">
      <c r="A283" t="e">
        <f>WP_Calc[[#This Row],[Team]]</f>
        <v>#VALUE!</v>
      </c>
      <c r="B283" s="6" t="e">
        <f>VLOOKUP(Prep[[#This Row],[Team]],WP_Calc[],4,0)</f>
        <v>#VALUE!</v>
      </c>
      <c r="C283" s="6" t="e">
        <f>VLOOKUP(Prep[[#This Row],[Team]],OWP_Calc[],2,0)</f>
        <v>#VALUE!</v>
      </c>
      <c r="D283" s="6" t="e">
        <f>VLOOKUP(Prep[[#This Row],[Team]],OOWP_Calc[],2,0)</f>
        <v>#VALUE!</v>
      </c>
      <c r="E283" s="3" t="e">
        <f>VLOOKUP(Prep[[#This Row],[Team]],WP_Calc[],2,0)+VLOOKUP(Prep[[#This Row],[Team]],WP_Calc[],3,0)</f>
        <v>#VALUE!</v>
      </c>
      <c r="F283" s="6" t="e">
        <f>Prep[[#This Row],[WP]]*0.25+Prep[[#This Row],[OWP]]*0.5+Prep[[#This Row],[OOWP]]*0.25</f>
        <v>#VALUE!</v>
      </c>
    </row>
    <row r="284" spans="1:6" x14ac:dyDescent="0.2">
      <c r="A284" t="e">
        <f>WP_Calc[[#This Row],[Team]]</f>
        <v>#VALUE!</v>
      </c>
      <c r="B284" s="6" t="e">
        <f>VLOOKUP(Prep[[#This Row],[Team]],WP_Calc[],4,0)</f>
        <v>#VALUE!</v>
      </c>
      <c r="C284" s="6" t="e">
        <f>VLOOKUP(Prep[[#This Row],[Team]],OWP_Calc[],2,0)</f>
        <v>#VALUE!</v>
      </c>
      <c r="D284" s="6" t="e">
        <f>VLOOKUP(Prep[[#This Row],[Team]],OOWP_Calc[],2,0)</f>
        <v>#VALUE!</v>
      </c>
      <c r="E284" s="3" t="e">
        <f>VLOOKUP(Prep[[#This Row],[Team]],WP_Calc[],2,0)+VLOOKUP(Prep[[#This Row],[Team]],WP_Calc[],3,0)</f>
        <v>#VALUE!</v>
      </c>
      <c r="F284" s="6" t="e">
        <f>Prep[[#This Row],[WP]]*0.25+Prep[[#This Row],[OWP]]*0.5+Prep[[#This Row],[OOWP]]*0.25</f>
        <v>#VALUE!</v>
      </c>
    </row>
    <row r="285" spans="1:6" x14ac:dyDescent="0.2">
      <c r="A285" t="e">
        <f>WP_Calc[[#This Row],[Team]]</f>
        <v>#VALUE!</v>
      </c>
      <c r="B285" s="6" t="e">
        <f>VLOOKUP(Prep[[#This Row],[Team]],WP_Calc[],4,0)</f>
        <v>#VALUE!</v>
      </c>
      <c r="C285" s="6" t="e">
        <f>VLOOKUP(Prep[[#This Row],[Team]],OWP_Calc[],2,0)</f>
        <v>#VALUE!</v>
      </c>
      <c r="D285" s="6" t="e">
        <f>VLOOKUP(Prep[[#This Row],[Team]],OOWP_Calc[],2,0)</f>
        <v>#VALUE!</v>
      </c>
      <c r="E285" s="3" t="e">
        <f>VLOOKUP(Prep[[#This Row],[Team]],WP_Calc[],2,0)+VLOOKUP(Prep[[#This Row],[Team]],WP_Calc[],3,0)</f>
        <v>#VALUE!</v>
      </c>
      <c r="F285" s="6" t="e">
        <f>Prep[[#This Row],[WP]]*0.25+Prep[[#This Row],[OWP]]*0.5+Prep[[#This Row],[OOWP]]*0.25</f>
        <v>#VALUE!</v>
      </c>
    </row>
    <row r="286" spans="1:6" x14ac:dyDescent="0.2">
      <c r="A286" t="e">
        <f>WP_Calc[[#This Row],[Team]]</f>
        <v>#VALUE!</v>
      </c>
      <c r="B286" s="6" t="e">
        <f>VLOOKUP(Prep[[#This Row],[Team]],WP_Calc[],4,0)</f>
        <v>#VALUE!</v>
      </c>
      <c r="C286" s="6" t="e">
        <f>VLOOKUP(Prep[[#This Row],[Team]],OWP_Calc[],2,0)</f>
        <v>#VALUE!</v>
      </c>
      <c r="D286" s="6" t="e">
        <f>VLOOKUP(Prep[[#This Row],[Team]],OOWP_Calc[],2,0)</f>
        <v>#VALUE!</v>
      </c>
      <c r="E286" s="3" t="e">
        <f>VLOOKUP(Prep[[#This Row],[Team]],WP_Calc[],2,0)+VLOOKUP(Prep[[#This Row],[Team]],WP_Calc[],3,0)</f>
        <v>#VALUE!</v>
      </c>
      <c r="F286" s="6" t="e">
        <f>Prep[[#This Row],[WP]]*0.25+Prep[[#This Row],[OWP]]*0.5+Prep[[#This Row],[OOWP]]*0.25</f>
        <v>#VALUE!</v>
      </c>
    </row>
    <row r="287" spans="1:6" x14ac:dyDescent="0.2">
      <c r="A287" t="e">
        <f>WP_Calc[[#This Row],[Team]]</f>
        <v>#VALUE!</v>
      </c>
      <c r="B287" s="6" t="e">
        <f>VLOOKUP(Prep[[#This Row],[Team]],WP_Calc[],4,0)</f>
        <v>#VALUE!</v>
      </c>
      <c r="C287" s="6" t="e">
        <f>VLOOKUP(Prep[[#This Row],[Team]],OWP_Calc[],2,0)</f>
        <v>#VALUE!</v>
      </c>
      <c r="D287" s="6" t="e">
        <f>VLOOKUP(Prep[[#This Row],[Team]],OOWP_Calc[],2,0)</f>
        <v>#VALUE!</v>
      </c>
      <c r="E287" s="3" t="e">
        <f>VLOOKUP(Prep[[#This Row],[Team]],WP_Calc[],2,0)+VLOOKUP(Prep[[#This Row],[Team]],WP_Calc[],3,0)</f>
        <v>#VALUE!</v>
      </c>
      <c r="F287" s="6" t="e">
        <f>Prep[[#This Row],[WP]]*0.25+Prep[[#This Row],[OWP]]*0.5+Prep[[#This Row],[OOWP]]*0.25</f>
        <v>#VALUE!</v>
      </c>
    </row>
    <row r="288" spans="1:6" x14ac:dyDescent="0.2">
      <c r="A288" t="e">
        <f>WP_Calc[[#This Row],[Team]]</f>
        <v>#VALUE!</v>
      </c>
      <c r="B288" s="6" t="e">
        <f>VLOOKUP(Prep[[#This Row],[Team]],WP_Calc[],4,0)</f>
        <v>#VALUE!</v>
      </c>
      <c r="C288" s="6" t="e">
        <f>VLOOKUP(Prep[[#This Row],[Team]],OWP_Calc[],2,0)</f>
        <v>#VALUE!</v>
      </c>
      <c r="D288" s="6" t="e">
        <f>VLOOKUP(Prep[[#This Row],[Team]],OOWP_Calc[],2,0)</f>
        <v>#VALUE!</v>
      </c>
      <c r="E288" s="3" t="e">
        <f>VLOOKUP(Prep[[#This Row],[Team]],WP_Calc[],2,0)+VLOOKUP(Prep[[#This Row],[Team]],WP_Calc[],3,0)</f>
        <v>#VALUE!</v>
      </c>
      <c r="F288" s="6" t="e">
        <f>Prep[[#This Row],[WP]]*0.25+Prep[[#This Row],[OWP]]*0.5+Prep[[#This Row],[OOWP]]*0.25</f>
        <v>#VALUE!</v>
      </c>
    </row>
    <row r="289" spans="1:6" x14ac:dyDescent="0.2">
      <c r="A289" t="e">
        <f>WP_Calc[[#This Row],[Team]]</f>
        <v>#VALUE!</v>
      </c>
      <c r="B289" s="6" t="e">
        <f>VLOOKUP(Prep[[#This Row],[Team]],WP_Calc[],4,0)</f>
        <v>#VALUE!</v>
      </c>
      <c r="C289" s="6" t="e">
        <f>VLOOKUP(Prep[[#This Row],[Team]],OWP_Calc[],2,0)</f>
        <v>#VALUE!</v>
      </c>
      <c r="D289" s="6" t="e">
        <f>VLOOKUP(Prep[[#This Row],[Team]],OOWP_Calc[],2,0)</f>
        <v>#VALUE!</v>
      </c>
      <c r="E289" s="3" t="e">
        <f>VLOOKUP(Prep[[#This Row],[Team]],WP_Calc[],2,0)+VLOOKUP(Prep[[#This Row],[Team]],WP_Calc[],3,0)</f>
        <v>#VALUE!</v>
      </c>
      <c r="F289" s="6" t="e">
        <f>Prep[[#This Row],[WP]]*0.25+Prep[[#This Row],[OWP]]*0.5+Prep[[#This Row],[OOWP]]*0.25</f>
        <v>#VALUE!</v>
      </c>
    </row>
    <row r="290" spans="1:6" x14ac:dyDescent="0.2">
      <c r="A290" t="e">
        <f>WP_Calc[[#This Row],[Team]]</f>
        <v>#VALUE!</v>
      </c>
      <c r="B290" s="6" t="e">
        <f>VLOOKUP(Prep[[#This Row],[Team]],WP_Calc[],4,0)</f>
        <v>#VALUE!</v>
      </c>
      <c r="C290" s="6" t="e">
        <f>VLOOKUP(Prep[[#This Row],[Team]],OWP_Calc[],2,0)</f>
        <v>#VALUE!</v>
      </c>
      <c r="D290" s="6" t="e">
        <f>VLOOKUP(Prep[[#This Row],[Team]],OOWP_Calc[],2,0)</f>
        <v>#VALUE!</v>
      </c>
      <c r="E290" s="3" t="e">
        <f>VLOOKUP(Prep[[#This Row],[Team]],WP_Calc[],2,0)+VLOOKUP(Prep[[#This Row],[Team]],WP_Calc[],3,0)</f>
        <v>#VALUE!</v>
      </c>
      <c r="F290" s="6" t="e">
        <f>Prep[[#This Row],[WP]]*0.25+Prep[[#This Row],[OWP]]*0.5+Prep[[#This Row],[OOWP]]*0.25</f>
        <v>#VALUE!</v>
      </c>
    </row>
    <row r="291" spans="1:6" x14ac:dyDescent="0.2">
      <c r="A291" t="e">
        <f>WP_Calc[[#This Row],[Team]]</f>
        <v>#VALUE!</v>
      </c>
      <c r="B291" s="6" t="e">
        <f>VLOOKUP(Prep[[#This Row],[Team]],WP_Calc[],4,0)</f>
        <v>#VALUE!</v>
      </c>
      <c r="C291" s="6" t="e">
        <f>VLOOKUP(Prep[[#This Row],[Team]],OWP_Calc[],2,0)</f>
        <v>#VALUE!</v>
      </c>
      <c r="D291" s="6" t="e">
        <f>VLOOKUP(Prep[[#This Row],[Team]],OOWP_Calc[],2,0)</f>
        <v>#VALUE!</v>
      </c>
      <c r="E291" s="3" t="e">
        <f>VLOOKUP(Prep[[#This Row],[Team]],WP_Calc[],2,0)+VLOOKUP(Prep[[#This Row],[Team]],WP_Calc[],3,0)</f>
        <v>#VALUE!</v>
      </c>
      <c r="F291" s="6" t="e">
        <f>Prep[[#This Row],[WP]]*0.25+Prep[[#This Row],[OWP]]*0.5+Prep[[#This Row],[OOWP]]*0.25</f>
        <v>#VALUE!</v>
      </c>
    </row>
    <row r="292" spans="1:6" x14ac:dyDescent="0.2">
      <c r="A292" t="e">
        <f>WP_Calc[[#This Row],[Team]]</f>
        <v>#VALUE!</v>
      </c>
      <c r="B292" s="6" t="e">
        <f>VLOOKUP(Prep[[#This Row],[Team]],WP_Calc[],4,0)</f>
        <v>#VALUE!</v>
      </c>
      <c r="C292" s="6" t="e">
        <f>VLOOKUP(Prep[[#This Row],[Team]],OWP_Calc[],2,0)</f>
        <v>#VALUE!</v>
      </c>
      <c r="D292" s="6" t="e">
        <f>VLOOKUP(Prep[[#This Row],[Team]],OOWP_Calc[],2,0)</f>
        <v>#VALUE!</v>
      </c>
      <c r="E292" s="3" t="e">
        <f>VLOOKUP(Prep[[#This Row],[Team]],WP_Calc[],2,0)+VLOOKUP(Prep[[#This Row],[Team]],WP_Calc[],3,0)</f>
        <v>#VALUE!</v>
      </c>
      <c r="F292" s="6" t="e">
        <f>Prep[[#This Row],[WP]]*0.25+Prep[[#This Row],[OWP]]*0.5+Prep[[#This Row],[OOWP]]*0.25</f>
        <v>#VALUE!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23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6.33203125" customWidth="1"/>
    <col min="2" max="2" width="4.83203125" customWidth="1"/>
    <col min="3" max="3" width="2.5" customWidth="1"/>
    <col min="4" max="4" width="16.33203125" customWidth="1"/>
    <col min="5" max="5" width="5.83203125" customWidth="1"/>
    <col min="6" max="6" width="2.6640625" customWidth="1"/>
    <col min="7" max="7" width="29.5" bestFit="1" customWidth="1"/>
    <col min="8" max="8" width="7.83203125" bestFit="1" customWidth="1"/>
    <col min="9" max="9" width="9" bestFit="1" customWidth="1"/>
    <col min="10" max="10" width="6.5" style="6" bestFit="1" customWidth="1"/>
    <col min="11" max="118" width="29.83203125" bestFit="1" customWidth="1"/>
    <col min="119" max="119" width="11.33203125" bestFit="1" customWidth="1"/>
  </cols>
  <sheetData>
    <row r="1" spans="1:10" x14ac:dyDescent="0.2">
      <c r="A1" s="2" t="s">
        <v>0</v>
      </c>
      <c r="B1" t="s">
        <v>12</v>
      </c>
      <c r="D1" s="2" t="s">
        <v>11</v>
      </c>
      <c r="E1" t="s">
        <v>13</v>
      </c>
      <c r="G1" t="s">
        <v>4</v>
      </c>
      <c r="H1" t="s">
        <v>12</v>
      </c>
      <c r="I1" t="s">
        <v>13</v>
      </c>
      <c r="J1" s="6" t="s">
        <v>5</v>
      </c>
    </row>
    <row r="2" spans="1:10" x14ac:dyDescent="0.2">
      <c r="A2" t="s">
        <v>27</v>
      </c>
      <c r="B2" s="3"/>
      <c r="D2" s="4" t="s">
        <v>27</v>
      </c>
      <c r="E2" s="3"/>
      <c r="G2" t="str">
        <f t="array" ref="G2">IFERROR(IFERROR(INDEX($A$2:$A$300, MATCH(0, COUNTIF($G$1:G1,$A$2:$A$300 ), 0)), INDEX($D$2:$D$300, MATCH(0, COUNTIF($G$1:G1,$D$2:$D$300 ), 0))), "")</f>
        <v>(blank)</v>
      </c>
      <c r="H2">
        <f>IFERROR(VLOOKUP(WP_Calc[[#This Row],[Team]],$A:$B,2,0),0)</f>
        <v>0</v>
      </c>
      <c r="I2">
        <f>IFERROR(VLOOKUP(WP_Calc[[#This Row],[Team]],$D:$E,2,0),0)</f>
        <v>0</v>
      </c>
      <c r="J2" s="6" t="str">
        <f>IFERROR(WP_Calc[[#This Row],[Wins]]/(WP_Calc[[#This Row],[Wins]]+WP_Calc[[#This Row],[Losses]]),"")</f>
        <v/>
      </c>
    </row>
    <row r="3" spans="1:10" x14ac:dyDescent="0.2">
      <c r="A3" t="s">
        <v>28</v>
      </c>
      <c r="B3" s="3">
        <v>4</v>
      </c>
      <c r="D3" s="4" t="s">
        <v>29</v>
      </c>
      <c r="E3" s="3">
        <v>5</v>
      </c>
      <c r="G3" t="str">
        <f t="array" ref="G3">IFERROR(IFERROR(INDEX($A$2:$A$300, MATCH(0, COUNTIF($G$1:G2,$A$2:$A$300 ), 0)), INDEX($D$2:$D$300, MATCH(0, COUNTIF($G$1:G2,$D$2:$D$300 ), 0))), "")</f>
        <v>West Texas</v>
      </c>
      <c r="H3">
        <f>IFERROR(VLOOKUP(WP_Calc[[#This Row],[Team]],$A:$B,2,0),0)</f>
        <v>4</v>
      </c>
      <c r="I3">
        <f>IFERROR(VLOOKUP(WP_Calc[[#This Row],[Team]],$D:$E,2,0),0)</f>
        <v>6</v>
      </c>
      <c r="J3" s="6">
        <f>IFERROR(WP_Calc[[#This Row],[Wins]]/(WP_Calc[[#This Row],[Wins]]+WP_Calc[[#This Row],[Losses]]),"")</f>
        <v>0.4</v>
      </c>
    </row>
    <row r="4" spans="1:10" x14ac:dyDescent="0.2">
      <c r="A4" t="s">
        <v>30</v>
      </c>
      <c r="B4" s="3">
        <v>5</v>
      </c>
      <c r="D4" s="4" t="s">
        <v>31</v>
      </c>
      <c r="E4" s="3">
        <v>5</v>
      </c>
      <c r="G4" t="str">
        <f t="array" ref="G4">IFERROR(IFERROR(INDEX($A$2:$A$300, MATCH(0, COUNTIF($G$1:G3,$A$2:$A$300 ), 0)), INDEX($D$2:$D$300, MATCH(0, COUNTIF($G$1:G3,$D$2:$D$300 ), 0))), "")</f>
        <v>Deutschtown</v>
      </c>
      <c r="H4">
        <f>IFERROR(VLOOKUP(WP_Calc[[#This Row],[Team]],$A:$B,2,0),0)</f>
        <v>5</v>
      </c>
      <c r="I4">
        <f>IFERROR(VLOOKUP(WP_Calc[[#This Row],[Team]],$D:$E,2,0),0)</f>
        <v>5</v>
      </c>
      <c r="J4" s="6">
        <f>IFERROR(WP_Calc[[#This Row],[Wins]]/(WP_Calc[[#This Row],[Wins]]+WP_Calc[[#This Row],[Losses]]),"")</f>
        <v>0.5</v>
      </c>
    </row>
    <row r="5" spans="1:10" x14ac:dyDescent="0.2">
      <c r="A5" t="s">
        <v>33</v>
      </c>
      <c r="B5" s="3">
        <v>3</v>
      </c>
      <c r="D5" s="4" t="s">
        <v>32</v>
      </c>
      <c r="E5" s="3">
        <v>7</v>
      </c>
      <c r="G5" t="str">
        <f t="array" ref="G5">IFERROR(IFERROR(INDEX($A$2:$A$300, MATCH(0, COUNTIF($G$1:G4,$A$2:$A$300 ), 0)), INDEX($D$2:$D$300, MATCH(0, COUNTIF($G$1:G4,$D$2:$D$300 ), 0))), "")</f>
        <v>Erie Tech</v>
      </c>
      <c r="H5">
        <f>IFERROR(VLOOKUP(WP_Calc[[#This Row],[Team]],$A:$B,2,0),0)</f>
        <v>3</v>
      </c>
      <c r="I5">
        <f>IFERROR(VLOOKUP(WP_Calc[[#This Row],[Team]],$D:$E,2,0),0)</f>
        <v>7</v>
      </c>
      <c r="J5" s="6">
        <f>IFERROR(WP_Calc[[#This Row],[Wins]]/(WP_Calc[[#This Row],[Wins]]+WP_Calc[[#This Row],[Losses]]),"")</f>
        <v>0.3</v>
      </c>
    </row>
    <row r="6" spans="1:10" x14ac:dyDescent="0.2">
      <c r="A6" t="s">
        <v>34</v>
      </c>
      <c r="B6" s="3">
        <v>8</v>
      </c>
      <c r="D6" s="4" t="s">
        <v>35</v>
      </c>
      <c r="E6" s="3">
        <v>3</v>
      </c>
      <c r="G6" t="str">
        <f t="array" ref="G6">IFERROR(IFERROR(INDEX($A$2:$A$300, MATCH(0, COUNTIF($G$1:G5,$A$2:$A$300 ), 0)), INDEX($D$2:$D$300, MATCH(0, COUNTIF($G$1:G5,$D$2:$D$300 ), 0))), "")</f>
        <v>Calvert</v>
      </c>
      <c r="H6">
        <f>IFERROR(VLOOKUP(WP_Calc[[#This Row],[Team]],$A:$B,2,0),0)</f>
        <v>8</v>
      </c>
      <c r="I6">
        <f>IFERROR(VLOOKUP(WP_Calc[[#This Row],[Team]],$D:$E,2,0),0)</f>
        <v>2</v>
      </c>
      <c r="J6" s="6">
        <f>IFERROR(WP_Calc[[#This Row],[Wins]]/(WP_Calc[[#This Row],[Wins]]+WP_Calc[[#This Row],[Losses]]),"")</f>
        <v>0.8</v>
      </c>
    </row>
    <row r="7" spans="1:10" x14ac:dyDescent="0.2">
      <c r="A7" t="s">
        <v>36</v>
      </c>
      <c r="B7" s="3">
        <v>6</v>
      </c>
      <c r="D7" s="4" t="s">
        <v>37</v>
      </c>
      <c r="E7" s="3">
        <v>9</v>
      </c>
      <c r="G7" t="str">
        <f t="array" ref="G7">IFERROR(IFERROR(INDEX($A$2:$A$300, MATCH(0, COUNTIF($G$1:G6,$A$2:$A$300 ), 0)), INDEX($D$2:$D$300, MATCH(0, COUNTIF($G$1:G6,$D$2:$D$300 ), 0))), "")</f>
        <v>Irvington</v>
      </c>
      <c r="H7">
        <f>IFERROR(VLOOKUP(WP_Calc[[#This Row],[Team]],$A:$B,2,0),0)</f>
        <v>6</v>
      </c>
      <c r="I7">
        <f>IFERROR(VLOOKUP(WP_Calc[[#This Row],[Team]],$D:$E,2,0),0)</f>
        <v>4</v>
      </c>
      <c r="J7" s="6">
        <f>IFERROR(WP_Calc[[#This Row],[Wins]]/(WP_Calc[[#This Row],[Wins]]+WP_Calc[[#This Row],[Losses]]),"")</f>
        <v>0.6</v>
      </c>
    </row>
    <row r="8" spans="1:10" x14ac:dyDescent="0.2">
      <c r="A8" t="s">
        <v>38</v>
      </c>
      <c r="B8" s="3">
        <v>4</v>
      </c>
      <c r="D8" s="4" t="s">
        <v>39</v>
      </c>
      <c r="E8" s="3">
        <v>6</v>
      </c>
      <c r="G8" t="str">
        <f t="array" ref="G8">IFERROR(IFERROR(INDEX($A$2:$A$300, MATCH(0, COUNTIF($G$1:G7,$A$2:$A$300 ), 0)), INDEX($D$2:$D$300, MATCH(0, COUNTIF($G$1:G7,$D$2:$D$300 ), 0))), "")</f>
        <v>Kentucky Tech</v>
      </c>
      <c r="H8">
        <f>IFERROR(VLOOKUP(WP_Calc[[#This Row],[Team]],$A:$B,2,0),0)</f>
        <v>4</v>
      </c>
      <c r="I8">
        <f>IFERROR(VLOOKUP(WP_Calc[[#This Row],[Team]],$D:$E,2,0),0)</f>
        <v>6</v>
      </c>
      <c r="J8" s="6">
        <f>IFERROR(WP_Calc[[#This Row],[Wins]]/(WP_Calc[[#This Row],[Wins]]+WP_Calc[[#This Row],[Losses]]),"")</f>
        <v>0.4</v>
      </c>
    </row>
    <row r="9" spans="1:10" x14ac:dyDescent="0.2">
      <c r="A9" t="s">
        <v>40</v>
      </c>
      <c r="B9" s="3">
        <v>8</v>
      </c>
      <c r="D9" s="4" t="s">
        <v>41</v>
      </c>
      <c r="E9" s="3">
        <v>6</v>
      </c>
      <c r="G9" t="str">
        <f t="array" ref="G9">IFERROR(IFERROR(INDEX($A$2:$A$300, MATCH(0, COUNTIF($G$1:G8,$A$2:$A$300 ), 0)), INDEX($D$2:$D$300, MATCH(0, COUNTIF($G$1:G8,$D$2:$D$300 ), 0))), "")</f>
        <v>Lakeshore</v>
      </c>
      <c r="H9">
        <f>IFERROR(VLOOKUP(WP_Calc[[#This Row],[Team]],$A:$B,2,0),0)</f>
        <v>8</v>
      </c>
      <c r="I9">
        <f>IFERROR(VLOOKUP(WP_Calc[[#This Row],[Team]],$D:$E,2,0),0)</f>
        <v>2</v>
      </c>
      <c r="J9" s="6">
        <f>IFERROR(WP_Calc[[#This Row],[Wins]]/(WP_Calc[[#This Row],[Wins]]+WP_Calc[[#This Row],[Losses]]),"")</f>
        <v>0.8</v>
      </c>
    </row>
    <row r="10" spans="1:10" x14ac:dyDescent="0.2">
      <c r="A10" t="s">
        <v>42</v>
      </c>
      <c r="B10" s="3">
        <v>7</v>
      </c>
      <c r="D10" s="4" t="s">
        <v>43</v>
      </c>
      <c r="E10" s="3">
        <v>5</v>
      </c>
      <c r="G10" t="str">
        <f t="array" ref="G10">IFERROR(IFERROR(INDEX($A$2:$A$300, MATCH(0, COUNTIF($G$1:G9,$A$2:$A$300 ), 0)), INDEX($D$2:$D$300, MATCH(0, COUNTIF($G$1:G9,$D$2:$D$300 ), 0))), "")</f>
        <v>California A&amp;M</v>
      </c>
      <c r="H10">
        <f>IFERROR(VLOOKUP(WP_Calc[[#This Row],[Team]],$A:$B,2,0),0)</f>
        <v>7</v>
      </c>
      <c r="I10">
        <f>IFERROR(VLOOKUP(WP_Calc[[#This Row],[Team]],$D:$E,2,0),0)</f>
        <v>3</v>
      </c>
      <c r="J10" s="6">
        <f>IFERROR(WP_Calc[[#This Row],[Wins]]/(WP_Calc[[#This Row],[Wins]]+WP_Calc[[#This Row],[Losses]]),"")</f>
        <v>0.7</v>
      </c>
    </row>
    <row r="11" spans="1:10" x14ac:dyDescent="0.2">
      <c r="A11" t="s">
        <v>44</v>
      </c>
      <c r="B11" s="3">
        <v>7</v>
      </c>
      <c r="D11" s="4" t="s">
        <v>45</v>
      </c>
      <c r="E11" s="3">
        <v>6</v>
      </c>
      <c r="G11" t="str">
        <f t="array" ref="G11">IFERROR(IFERROR(INDEX($A$2:$A$300, MATCH(0, COUNTIF($G$1:G10,$A$2:$A$300 ), 0)), INDEX($D$2:$D$300, MATCH(0, COUNTIF($G$1:G10,$D$2:$D$300 ), 0))), "")</f>
        <v>UC Long Beach</v>
      </c>
      <c r="H11">
        <f>IFERROR(VLOOKUP(WP_Calc[[#This Row],[Team]],$A:$B,2,0),0)</f>
        <v>7</v>
      </c>
      <c r="I11">
        <f>IFERROR(VLOOKUP(WP_Calc[[#This Row],[Team]],$D:$E,2,0),0)</f>
        <v>3</v>
      </c>
      <c r="J11" s="6">
        <f>IFERROR(WP_Calc[[#This Row],[Wins]]/(WP_Calc[[#This Row],[Wins]]+WP_Calc[[#This Row],[Losses]]),"")</f>
        <v>0.7</v>
      </c>
    </row>
    <row r="12" spans="1:10" x14ac:dyDescent="0.2">
      <c r="A12" t="s">
        <v>35</v>
      </c>
      <c r="B12" s="3">
        <v>7</v>
      </c>
      <c r="D12" s="4" t="s">
        <v>42</v>
      </c>
      <c r="E12" s="3">
        <v>3</v>
      </c>
      <c r="G12" t="str">
        <f t="array" ref="G12">IFERROR(IFERROR(INDEX($A$2:$A$300, MATCH(0, COUNTIF($G$1:G11,$A$2:$A$300 ), 0)), INDEX($D$2:$D$300, MATCH(0, COUNTIF($G$1:G11,$D$2:$D$300 ), 0))), "")</f>
        <v>Bloom State</v>
      </c>
      <c r="H12">
        <f>IFERROR(VLOOKUP(WP_Calc[[#This Row],[Team]],$A:$B,2,0),0)</f>
        <v>7</v>
      </c>
      <c r="I12">
        <f>IFERROR(VLOOKUP(WP_Calc[[#This Row],[Team]],$D:$E,2,0),0)</f>
        <v>3</v>
      </c>
      <c r="J12" s="6">
        <f>IFERROR(WP_Calc[[#This Row],[Wins]]/(WP_Calc[[#This Row],[Wins]]+WP_Calc[[#This Row],[Losses]]),"")</f>
        <v>0.7</v>
      </c>
    </row>
    <row r="13" spans="1:10" x14ac:dyDescent="0.2">
      <c r="A13" t="s">
        <v>31</v>
      </c>
      <c r="B13" s="3">
        <v>5</v>
      </c>
      <c r="D13" s="4" t="s">
        <v>28</v>
      </c>
      <c r="E13" s="3">
        <v>6</v>
      </c>
      <c r="G13" t="str">
        <f t="array" ref="G13">IFERROR(IFERROR(INDEX($A$2:$A$300, MATCH(0, COUNTIF($G$1:G12,$A$2:$A$300 ), 0)), INDEX($D$2:$D$300, MATCH(0, COUNTIF($G$1:G12,$D$2:$D$300 ), 0))), "")</f>
        <v>Redmond</v>
      </c>
      <c r="H13">
        <f>IFERROR(VLOOKUP(WP_Calc[[#This Row],[Team]],$A:$B,2,0),0)</f>
        <v>5</v>
      </c>
      <c r="I13">
        <f>IFERROR(VLOOKUP(WP_Calc[[#This Row],[Team]],$D:$E,2,0),0)</f>
        <v>5</v>
      </c>
      <c r="J13" s="6">
        <f>IFERROR(WP_Calc[[#This Row],[Wins]]/(WP_Calc[[#This Row],[Wins]]+WP_Calc[[#This Row],[Losses]]),"")</f>
        <v>0.5</v>
      </c>
    </row>
    <row r="14" spans="1:10" x14ac:dyDescent="0.2">
      <c r="A14" t="s">
        <v>43</v>
      </c>
      <c r="B14" s="3">
        <v>5</v>
      </c>
      <c r="D14" s="4" t="s">
        <v>38</v>
      </c>
      <c r="E14" s="3">
        <v>6</v>
      </c>
      <c r="G14" t="str">
        <f t="array" ref="G14">IFERROR(IFERROR(INDEX($A$2:$A$300, MATCH(0, COUNTIF($G$1:G13,$A$2:$A$300 ), 0)), INDEX($D$2:$D$300, MATCH(0, COUNTIF($G$1:G13,$D$2:$D$300 ), 0))), "")</f>
        <v>Dennison State</v>
      </c>
      <c r="H14">
        <f>IFERROR(VLOOKUP(WP_Calc[[#This Row],[Team]],$A:$B,2,0),0)</f>
        <v>5</v>
      </c>
      <c r="I14">
        <f>IFERROR(VLOOKUP(WP_Calc[[#This Row],[Team]],$D:$E,2,0),0)</f>
        <v>5</v>
      </c>
      <c r="J14" s="6">
        <f>IFERROR(WP_Calc[[#This Row],[Wins]]/(WP_Calc[[#This Row],[Wins]]+WP_Calc[[#This Row],[Losses]]),"")</f>
        <v>0.5</v>
      </c>
    </row>
    <row r="15" spans="1:10" x14ac:dyDescent="0.2">
      <c r="A15" t="s">
        <v>32</v>
      </c>
      <c r="B15" s="3">
        <v>3</v>
      </c>
      <c r="D15" s="4" t="s">
        <v>36</v>
      </c>
      <c r="E15" s="3">
        <v>4</v>
      </c>
      <c r="G15" t="str">
        <f t="array" ref="G15">IFERROR(IFERROR(INDEX($A$2:$A$300, MATCH(0, COUNTIF($G$1:G14,$A$2:$A$300 ), 0)), INDEX($D$2:$D$300, MATCH(0, COUNTIF($G$1:G14,$D$2:$D$300 ), 0))), "")</f>
        <v>Southern Atlantic</v>
      </c>
      <c r="H15">
        <f>IFERROR(VLOOKUP(WP_Calc[[#This Row],[Team]],$A:$B,2,0),0)</f>
        <v>3</v>
      </c>
      <c r="I15">
        <f>IFERROR(VLOOKUP(WP_Calc[[#This Row],[Team]],$D:$E,2,0),0)</f>
        <v>7</v>
      </c>
      <c r="J15" s="6">
        <f>IFERROR(WP_Calc[[#This Row],[Wins]]/(WP_Calc[[#This Row],[Wins]]+WP_Calc[[#This Row],[Losses]]),"")</f>
        <v>0.3</v>
      </c>
    </row>
    <row r="16" spans="1:10" x14ac:dyDescent="0.2">
      <c r="A16" t="s">
        <v>37</v>
      </c>
      <c r="B16" s="3">
        <v>1</v>
      </c>
      <c r="D16" s="4" t="s">
        <v>30</v>
      </c>
      <c r="E16" s="3">
        <v>5</v>
      </c>
      <c r="G16" t="str">
        <f t="array" ref="G16">IFERROR(IFERROR(INDEX($A$2:$A$300, MATCH(0, COUNTIF($G$1:G15,$A$2:$A$300 ), 0)), INDEX($D$2:$D$300, MATCH(0, COUNTIF($G$1:G15,$D$2:$D$300 ), 0))), "")</f>
        <v>UW Lower Columbia</v>
      </c>
      <c r="H16">
        <f>IFERROR(VLOOKUP(WP_Calc[[#This Row],[Team]],$A:$B,2,0),0)</f>
        <v>1</v>
      </c>
      <c r="I16">
        <f>IFERROR(VLOOKUP(WP_Calc[[#This Row],[Team]],$D:$E,2,0),0)</f>
        <v>9</v>
      </c>
      <c r="J16" s="6">
        <f>IFERROR(WP_Calc[[#This Row],[Wins]]/(WP_Calc[[#This Row],[Wins]]+WP_Calc[[#This Row],[Losses]]),"")</f>
        <v>0.1</v>
      </c>
    </row>
    <row r="17" spans="1:10" x14ac:dyDescent="0.2">
      <c r="A17" t="s">
        <v>41</v>
      </c>
      <c r="B17" s="3">
        <v>4</v>
      </c>
      <c r="D17" s="4" t="s">
        <v>33</v>
      </c>
      <c r="E17" s="3">
        <v>7</v>
      </c>
      <c r="G17" t="str">
        <f t="array" ref="G17">IFERROR(IFERROR(INDEX($A$2:$A$300, MATCH(0, COUNTIF($G$1:G16,$A$2:$A$300 ), 0)), INDEX($D$2:$D$300, MATCH(0, COUNTIF($G$1:G16,$D$2:$D$300 ), 0))), "")</f>
        <v>Continental</v>
      </c>
      <c r="H17">
        <f>IFERROR(VLOOKUP(WP_Calc[[#This Row],[Team]],$A:$B,2,0),0)</f>
        <v>4</v>
      </c>
      <c r="I17">
        <f>IFERROR(VLOOKUP(WP_Calc[[#This Row],[Team]],$D:$E,2,0),0)</f>
        <v>6</v>
      </c>
      <c r="J17" s="6">
        <f>IFERROR(WP_Calc[[#This Row],[Wins]]/(WP_Calc[[#This Row],[Wins]]+WP_Calc[[#This Row],[Losses]]),"")</f>
        <v>0.4</v>
      </c>
    </row>
    <row r="18" spans="1:10" x14ac:dyDescent="0.2">
      <c r="A18" t="s">
        <v>45</v>
      </c>
      <c r="B18" s="3">
        <v>4</v>
      </c>
      <c r="D18" s="4" t="s">
        <v>44</v>
      </c>
      <c r="E18" s="3">
        <v>3</v>
      </c>
      <c r="G18" t="str">
        <f t="array" ref="G18">IFERROR(IFERROR(INDEX($A$2:$A$300, MATCH(0, COUNTIF($G$1:G17,$A$2:$A$300 ), 0)), INDEX($D$2:$D$300, MATCH(0, COUNTIF($G$1:G17,$D$2:$D$300 ), 0))), "")</f>
        <v>Golden Isles</v>
      </c>
      <c r="H18">
        <f>IFERROR(VLOOKUP(WP_Calc[[#This Row],[Team]],$A:$B,2,0),0)</f>
        <v>4</v>
      </c>
      <c r="I18">
        <f>IFERROR(VLOOKUP(WP_Calc[[#This Row],[Team]],$D:$E,2,0),0)</f>
        <v>6</v>
      </c>
      <c r="J18" s="6">
        <f>IFERROR(WP_Calc[[#This Row],[Wins]]/(WP_Calc[[#This Row],[Wins]]+WP_Calc[[#This Row],[Losses]]),"")</f>
        <v>0.4</v>
      </c>
    </row>
    <row r="19" spans="1:10" x14ac:dyDescent="0.2">
      <c r="A19" t="s">
        <v>29</v>
      </c>
      <c r="B19" s="3">
        <v>5</v>
      </c>
      <c r="D19" s="4" t="s">
        <v>34</v>
      </c>
      <c r="E19" s="3">
        <v>2</v>
      </c>
      <c r="G19" t="str">
        <f t="array" ref="G19">IFERROR(IFERROR(INDEX($A$2:$A$300, MATCH(0, COUNTIF($G$1:G18,$A$2:$A$300 ), 0)), INDEX($D$2:$D$300, MATCH(0, COUNTIF($G$1:G18,$D$2:$D$300 ), 0))), "")</f>
        <v>Minnesota A&amp;M</v>
      </c>
      <c r="H19">
        <f>IFERROR(VLOOKUP(WP_Calc[[#This Row],[Team]],$A:$B,2,0),0)</f>
        <v>5</v>
      </c>
      <c r="I19">
        <f>IFERROR(VLOOKUP(WP_Calc[[#This Row],[Team]],$D:$E,2,0),0)</f>
        <v>5</v>
      </c>
      <c r="J19" s="6">
        <f>IFERROR(WP_Calc[[#This Row],[Wins]]/(WP_Calc[[#This Row],[Wins]]+WP_Calc[[#This Row],[Losses]]),"")</f>
        <v>0.5</v>
      </c>
    </row>
    <row r="20" spans="1:10" x14ac:dyDescent="0.2">
      <c r="A20" t="s">
        <v>39</v>
      </c>
      <c r="B20" s="3">
        <v>4</v>
      </c>
      <c r="D20" s="4" t="s">
        <v>40</v>
      </c>
      <c r="E20" s="3">
        <v>2</v>
      </c>
      <c r="G20" t="str">
        <f t="array" ref="G20">IFERROR(IFERROR(INDEX($A$2:$A$300, MATCH(0, COUNTIF($G$1:G19,$A$2:$A$300 ), 0)), INDEX($D$2:$D$300, MATCH(0, COUNTIF($G$1:G19,$D$2:$D$300 ), 0))), "")</f>
        <v>Coastal California</v>
      </c>
      <c r="H20">
        <f>IFERROR(VLOOKUP(WP_Calc[[#This Row],[Team]],$A:$B,2,0),0)</f>
        <v>4</v>
      </c>
      <c r="I20">
        <f>IFERROR(VLOOKUP(WP_Calc[[#This Row],[Team]],$D:$E,2,0),0)</f>
        <v>6</v>
      </c>
      <c r="J20" s="6">
        <f>IFERROR(WP_Calc[[#This Row],[Wins]]/(WP_Calc[[#This Row],[Wins]]+WP_Calc[[#This Row],[Losses]]),"")</f>
        <v>0.4</v>
      </c>
    </row>
    <row r="21" spans="1:10" x14ac:dyDescent="0.2">
      <c r="G21">
        <f t="array" ref="G21">IFERROR(IFERROR(INDEX($A$2:$A$300, MATCH(0, COUNTIF($G$1:G20,$A$2:$A$300 ), 0)), INDEX($D$2:$D$300, MATCH(0, COUNTIF($G$1:G20,$D$2:$D$300 ), 0))), "")</f>
        <v>0</v>
      </c>
      <c r="H21">
        <f>IFERROR(VLOOKUP(WP_Calc[[#This Row],[Team]],$A:$B,2,0),0)</f>
        <v>0</v>
      </c>
      <c r="I21">
        <f>IFERROR(VLOOKUP(WP_Calc[[#This Row],[Team]],$D:$E,2,0),0)</f>
        <v>0</v>
      </c>
      <c r="J21" s="6" t="str">
        <f>IFERROR(WP_Calc[[#This Row],[Wins]]/(WP_Calc[[#This Row],[Wins]]+WP_Calc[[#This Row],[Losses]]),"")</f>
        <v/>
      </c>
    </row>
    <row r="22" spans="1:10" x14ac:dyDescent="0.2">
      <c r="G22" t="str">
        <f t="array" ref="G22">IFERROR(IFERROR(INDEX($A$2:$A$300, MATCH(0, COUNTIF($G$1:G21,$A$2:$A$300 ), 0)), INDEX($D$2:$D$300, MATCH(0, COUNTIF($G$1:G21,$D$2:$D$300 ), 0))), "")</f>
        <v/>
      </c>
      <c r="H22">
        <f>IFERROR(VLOOKUP(WP_Calc[[#This Row],[Team]],$A:$B,2,0),0)</f>
        <v>0</v>
      </c>
      <c r="I22">
        <f>IFERROR(VLOOKUP(WP_Calc[[#This Row],[Team]],$D:$E,2,0),0)</f>
        <v>0</v>
      </c>
      <c r="J22" s="6" t="str">
        <f>IFERROR(WP_Calc[[#This Row],[Wins]]/(WP_Calc[[#This Row],[Wins]]+WP_Calc[[#This Row],[Losses]]),"")</f>
        <v/>
      </c>
    </row>
    <row r="23" spans="1:10" x14ac:dyDescent="0.2">
      <c r="G23" t="str">
        <f t="array" ref="G23">IFERROR(IFERROR(INDEX($A$2:$A$300, MATCH(0, COUNTIF($G$1:G22,$A$2:$A$300 ), 0)), INDEX($D$2:$D$300, MATCH(0, COUNTIF($G$1:G22,$D$2:$D$300 ), 0))), "")</f>
        <v/>
      </c>
      <c r="H23">
        <f>IFERROR(VLOOKUP(WP_Calc[[#This Row],[Team]],$A:$B,2,0),0)</f>
        <v>0</v>
      </c>
      <c r="I23">
        <f>IFERROR(VLOOKUP(WP_Calc[[#This Row],[Team]],$D:$E,2,0),0)</f>
        <v>0</v>
      </c>
      <c r="J23" s="6" t="str">
        <f>IFERROR(WP_Calc[[#This Row],[Wins]]/(WP_Calc[[#This Row],[Wins]]+WP_Calc[[#This Row],[Losses]]),"")</f>
        <v/>
      </c>
    </row>
    <row r="24" spans="1:10" x14ac:dyDescent="0.2">
      <c r="G24" t="str">
        <f t="array" ref="G24">IFERROR(IFERROR(INDEX($A$2:$A$300, MATCH(0, COUNTIF($G$1:G23,$A$2:$A$300 ), 0)), INDEX($D$2:$D$300, MATCH(0, COUNTIF($G$1:G23,$D$2:$D$300 ), 0))), "")</f>
        <v/>
      </c>
      <c r="H24">
        <f>IFERROR(VLOOKUP(WP_Calc[[#This Row],[Team]],$A:$B,2,0),0)</f>
        <v>0</v>
      </c>
      <c r="I24">
        <f>IFERROR(VLOOKUP(WP_Calc[[#This Row],[Team]],$D:$E,2,0),0)</f>
        <v>0</v>
      </c>
      <c r="J24" s="6" t="str">
        <f>IFERROR(WP_Calc[[#This Row],[Wins]]/(WP_Calc[[#This Row],[Wins]]+WP_Calc[[#This Row],[Losses]]),"")</f>
        <v/>
      </c>
    </row>
    <row r="25" spans="1:10" x14ac:dyDescent="0.2">
      <c r="G25" t="str">
        <f t="array" ref="G25">IFERROR(IFERROR(INDEX($A$2:$A$300, MATCH(0, COUNTIF($G$1:G24,$A$2:$A$300 ), 0)), INDEX($D$2:$D$300, MATCH(0, COUNTIF($G$1:G24,$D$2:$D$300 ), 0))), "")</f>
        <v/>
      </c>
      <c r="H25">
        <f>IFERROR(VLOOKUP(WP_Calc[[#This Row],[Team]],$A:$B,2,0),0)</f>
        <v>0</v>
      </c>
      <c r="I25">
        <f>IFERROR(VLOOKUP(WP_Calc[[#This Row],[Team]],$D:$E,2,0),0)</f>
        <v>0</v>
      </c>
      <c r="J25" s="6" t="str">
        <f>IFERROR(WP_Calc[[#This Row],[Wins]]/(WP_Calc[[#This Row],[Wins]]+WP_Calc[[#This Row],[Losses]]),"")</f>
        <v/>
      </c>
    </row>
    <row r="26" spans="1:10" x14ac:dyDescent="0.2">
      <c r="G26" t="str">
        <f t="array" ref="G26">IFERROR(IFERROR(INDEX($A$2:$A$300, MATCH(0, COUNTIF($G$1:G25,$A$2:$A$300 ), 0)), INDEX($D$2:$D$300, MATCH(0, COUNTIF($G$1:G25,$D$2:$D$300 ), 0))), "")</f>
        <v/>
      </c>
      <c r="H26">
        <f>IFERROR(VLOOKUP(WP_Calc[[#This Row],[Team]],$A:$B,2,0),0)</f>
        <v>0</v>
      </c>
      <c r="I26">
        <f>IFERROR(VLOOKUP(WP_Calc[[#This Row],[Team]],$D:$E,2,0),0)</f>
        <v>0</v>
      </c>
      <c r="J26" s="6" t="str">
        <f>IFERROR(WP_Calc[[#This Row],[Wins]]/(WP_Calc[[#This Row],[Wins]]+WP_Calc[[#This Row],[Losses]]),"")</f>
        <v/>
      </c>
    </row>
    <row r="27" spans="1:10" x14ac:dyDescent="0.2">
      <c r="G27" t="str">
        <f t="array" ref="G27">IFERROR(IFERROR(INDEX($A$2:$A$300, MATCH(0, COUNTIF($G$1:G26,$A$2:$A$300 ), 0)), INDEX($D$2:$D$300, MATCH(0, COUNTIF($G$1:G26,$D$2:$D$300 ), 0))), "")</f>
        <v/>
      </c>
      <c r="H27">
        <f>IFERROR(VLOOKUP(WP_Calc[[#This Row],[Team]],$A:$B,2,0),0)</f>
        <v>0</v>
      </c>
      <c r="I27">
        <f>IFERROR(VLOOKUP(WP_Calc[[#This Row],[Team]],$D:$E,2,0),0)</f>
        <v>0</v>
      </c>
      <c r="J27" s="6" t="str">
        <f>IFERROR(WP_Calc[[#This Row],[Wins]]/(WP_Calc[[#This Row],[Wins]]+WP_Calc[[#This Row],[Losses]]),"")</f>
        <v/>
      </c>
    </row>
    <row r="28" spans="1:10" x14ac:dyDescent="0.2">
      <c r="G28" t="str">
        <f t="array" ref="G28">IFERROR(IFERROR(INDEX($A$2:$A$300, MATCH(0, COUNTIF($G$1:G27,$A$2:$A$300 ), 0)), INDEX($D$2:$D$300, MATCH(0, COUNTIF($G$1:G27,$D$2:$D$300 ), 0))), "")</f>
        <v/>
      </c>
      <c r="H28">
        <f>IFERROR(VLOOKUP(WP_Calc[[#This Row],[Team]],$A:$B,2,0),0)</f>
        <v>0</v>
      </c>
      <c r="I28">
        <f>IFERROR(VLOOKUP(WP_Calc[[#This Row],[Team]],$D:$E,2,0),0)</f>
        <v>0</v>
      </c>
      <c r="J28" s="6" t="str">
        <f>IFERROR(WP_Calc[[#This Row],[Wins]]/(WP_Calc[[#This Row],[Wins]]+WP_Calc[[#This Row],[Losses]]),"")</f>
        <v/>
      </c>
    </row>
    <row r="29" spans="1:10" x14ac:dyDescent="0.2">
      <c r="G29" t="str">
        <f t="array" ref="G29">IFERROR(IFERROR(INDEX($A$2:$A$300, MATCH(0, COUNTIF($G$1:G28,$A$2:$A$300 ), 0)), INDEX($D$2:$D$300, MATCH(0, COUNTIF($G$1:G28,$D$2:$D$300 ), 0))), "")</f>
        <v/>
      </c>
      <c r="H29">
        <f>IFERROR(VLOOKUP(WP_Calc[[#This Row],[Team]],$A:$B,2,0),0)</f>
        <v>0</v>
      </c>
      <c r="I29">
        <f>IFERROR(VLOOKUP(WP_Calc[[#This Row],[Team]],$D:$E,2,0),0)</f>
        <v>0</v>
      </c>
      <c r="J29" s="6" t="str">
        <f>IFERROR(WP_Calc[[#This Row],[Wins]]/(WP_Calc[[#This Row],[Wins]]+WP_Calc[[#This Row],[Losses]]),"")</f>
        <v/>
      </c>
    </row>
    <row r="30" spans="1:10" x14ac:dyDescent="0.2">
      <c r="G30" t="str">
        <f t="array" ref="G30">IFERROR(IFERROR(INDEX($A$2:$A$300, MATCH(0, COUNTIF($G$1:G29,$A$2:$A$300 ), 0)), INDEX($D$2:$D$300, MATCH(0, COUNTIF($G$1:G29,$D$2:$D$300 ), 0))), "")</f>
        <v/>
      </c>
      <c r="H30">
        <f>IFERROR(VLOOKUP(WP_Calc[[#This Row],[Team]],$A:$B,2,0),0)</f>
        <v>0</v>
      </c>
      <c r="I30">
        <f>IFERROR(VLOOKUP(WP_Calc[[#This Row],[Team]],$D:$E,2,0),0)</f>
        <v>0</v>
      </c>
      <c r="J30" s="6" t="str">
        <f>IFERROR(WP_Calc[[#This Row],[Wins]]/(WP_Calc[[#This Row],[Wins]]+WP_Calc[[#This Row],[Losses]]),"")</f>
        <v/>
      </c>
    </row>
    <row r="31" spans="1:10" x14ac:dyDescent="0.2">
      <c r="G31" t="str">
        <f t="array" ref="G31">IFERROR(IFERROR(INDEX($A$2:$A$300, MATCH(0, COUNTIF($G$1:G30,$A$2:$A$300 ), 0)), INDEX($D$2:$D$300, MATCH(0, COUNTIF($G$1:G30,$D$2:$D$300 ), 0))), "")</f>
        <v/>
      </c>
      <c r="H31">
        <f>IFERROR(VLOOKUP(WP_Calc[[#This Row],[Team]],$A:$B,2,0),0)</f>
        <v>0</v>
      </c>
      <c r="I31">
        <f>IFERROR(VLOOKUP(WP_Calc[[#This Row],[Team]],$D:$E,2,0),0)</f>
        <v>0</v>
      </c>
      <c r="J31" s="6" t="str">
        <f>IFERROR(WP_Calc[[#This Row],[Wins]]/(WP_Calc[[#This Row],[Wins]]+WP_Calc[[#This Row],[Losses]]),"")</f>
        <v/>
      </c>
    </row>
    <row r="32" spans="1:10" x14ac:dyDescent="0.2">
      <c r="G32" t="str">
        <f t="array" ref="G32">IFERROR(IFERROR(INDEX($A$2:$A$300, MATCH(0, COUNTIF($G$1:G31,$A$2:$A$300 ), 0)), INDEX($D$2:$D$300, MATCH(0, COUNTIF($G$1:G31,$D$2:$D$300 ), 0))), "")</f>
        <v/>
      </c>
      <c r="H32">
        <f>IFERROR(VLOOKUP(WP_Calc[[#This Row],[Team]],$A:$B,2,0),0)</f>
        <v>0</v>
      </c>
      <c r="I32">
        <f>IFERROR(VLOOKUP(WP_Calc[[#This Row],[Team]],$D:$E,2,0),0)</f>
        <v>0</v>
      </c>
      <c r="J32" s="6" t="str">
        <f>IFERROR(WP_Calc[[#This Row],[Wins]]/(WP_Calc[[#This Row],[Wins]]+WP_Calc[[#This Row],[Losses]]),"")</f>
        <v/>
      </c>
    </row>
    <row r="33" spans="7:10" x14ac:dyDescent="0.2">
      <c r="G33" t="str">
        <f t="array" ref="G33">IFERROR(IFERROR(INDEX($A$2:$A$300, MATCH(0, COUNTIF($G$1:G32,$A$2:$A$300 ), 0)), INDEX($D$2:$D$300, MATCH(0, COUNTIF($G$1:G32,$D$2:$D$300 ), 0))), "")</f>
        <v/>
      </c>
      <c r="H33">
        <f>IFERROR(VLOOKUP(WP_Calc[[#This Row],[Team]],$A:$B,2,0),0)</f>
        <v>0</v>
      </c>
      <c r="I33">
        <f>IFERROR(VLOOKUP(WP_Calc[[#This Row],[Team]],$D:$E,2,0),0)</f>
        <v>0</v>
      </c>
      <c r="J33" s="6" t="str">
        <f>IFERROR(WP_Calc[[#This Row],[Wins]]/(WP_Calc[[#This Row],[Wins]]+WP_Calc[[#This Row],[Losses]]),"")</f>
        <v/>
      </c>
    </row>
    <row r="34" spans="7:10" x14ac:dyDescent="0.2">
      <c r="G34" t="str">
        <f t="array" ref="G34">IFERROR(IFERROR(INDEX($A$2:$A$300, MATCH(0, COUNTIF($G$1:G33,$A$2:$A$300 ), 0)), INDEX($D$2:$D$300, MATCH(0, COUNTIF($G$1:G33,$D$2:$D$300 ), 0))), "")</f>
        <v/>
      </c>
      <c r="H34">
        <f>IFERROR(VLOOKUP(WP_Calc[[#This Row],[Team]],$A:$B,2,0),0)</f>
        <v>0</v>
      </c>
      <c r="I34">
        <f>IFERROR(VLOOKUP(WP_Calc[[#This Row],[Team]],$D:$E,2,0),0)</f>
        <v>0</v>
      </c>
      <c r="J34" s="6" t="str">
        <f>IFERROR(WP_Calc[[#This Row],[Wins]]/(WP_Calc[[#This Row],[Wins]]+WP_Calc[[#This Row],[Losses]]),"")</f>
        <v/>
      </c>
    </row>
    <row r="35" spans="7:10" x14ac:dyDescent="0.2">
      <c r="G35" t="str">
        <f t="array" ref="G35">IFERROR(IFERROR(INDEX($A$2:$A$300, MATCH(0, COUNTIF($G$1:G34,$A$2:$A$300 ), 0)), INDEX($D$2:$D$300, MATCH(0, COUNTIF($G$1:G34,$D$2:$D$300 ), 0))), "")</f>
        <v/>
      </c>
      <c r="H35">
        <f>IFERROR(VLOOKUP(WP_Calc[[#This Row],[Team]],$A:$B,2,0),0)</f>
        <v>0</v>
      </c>
      <c r="I35">
        <f>IFERROR(VLOOKUP(WP_Calc[[#This Row],[Team]],$D:$E,2,0),0)</f>
        <v>0</v>
      </c>
      <c r="J35" s="6" t="str">
        <f>IFERROR(WP_Calc[[#This Row],[Wins]]/(WP_Calc[[#This Row],[Wins]]+WP_Calc[[#This Row],[Losses]]),"")</f>
        <v/>
      </c>
    </row>
    <row r="36" spans="7:10" x14ac:dyDescent="0.2">
      <c r="G36" t="str">
        <f t="array" ref="G36">IFERROR(IFERROR(INDEX($A$2:$A$300, MATCH(0, COUNTIF($G$1:G35,$A$2:$A$300 ), 0)), INDEX($D$2:$D$300, MATCH(0, COUNTIF($G$1:G35,$D$2:$D$300 ), 0))), "")</f>
        <v/>
      </c>
      <c r="H36">
        <f>IFERROR(VLOOKUP(WP_Calc[[#This Row],[Team]],$A:$B,2,0),0)</f>
        <v>0</v>
      </c>
      <c r="I36">
        <f>IFERROR(VLOOKUP(WP_Calc[[#This Row],[Team]],$D:$E,2,0),0)</f>
        <v>0</v>
      </c>
      <c r="J36" s="6" t="str">
        <f>IFERROR(WP_Calc[[#This Row],[Wins]]/(WP_Calc[[#This Row],[Wins]]+WP_Calc[[#This Row],[Losses]]),"")</f>
        <v/>
      </c>
    </row>
    <row r="37" spans="7:10" x14ac:dyDescent="0.2">
      <c r="G37" t="str">
        <f t="array" ref="G37">IFERROR(IFERROR(INDEX($A$2:$A$300, MATCH(0, COUNTIF($G$1:G36,$A$2:$A$300 ), 0)), INDEX($D$2:$D$300, MATCH(0, COUNTIF($G$1:G36,$D$2:$D$300 ), 0))), "")</f>
        <v/>
      </c>
      <c r="H37">
        <f>IFERROR(VLOOKUP(WP_Calc[[#This Row],[Team]],$A:$B,2,0),0)</f>
        <v>0</v>
      </c>
      <c r="I37">
        <f>IFERROR(VLOOKUP(WP_Calc[[#This Row],[Team]],$D:$E,2,0),0)</f>
        <v>0</v>
      </c>
      <c r="J37" s="6" t="str">
        <f>IFERROR(WP_Calc[[#This Row],[Wins]]/(WP_Calc[[#This Row],[Wins]]+WP_Calc[[#This Row],[Losses]]),"")</f>
        <v/>
      </c>
    </row>
    <row r="38" spans="7:10" x14ac:dyDescent="0.2">
      <c r="G38" t="str">
        <f t="array" ref="G38">IFERROR(IFERROR(INDEX($A$2:$A$300, MATCH(0, COUNTIF($G$1:G37,$A$2:$A$300 ), 0)), INDEX($D$2:$D$300, MATCH(0, COUNTIF($G$1:G37,$D$2:$D$300 ), 0))), "")</f>
        <v/>
      </c>
      <c r="H38">
        <f>IFERROR(VLOOKUP(WP_Calc[[#This Row],[Team]],$A:$B,2,0),0)</f>
        <v>0</v>
      </c>
      <c r="I38">
        <f>IFERROR(VLOOKUP(WP_Calc[[#This Row],[Team]],$D:$E,2,0),0)</f>
        <v>0</v>
      </c>
      <c r="J38" s="6" t="str">
        <f>IFERROR(WP_Calc[[#This Row],[Wins]]/(WP_Calc[[#This Row],[Wins]]+WP_Calc[[#This Row],[Losses]]),"")</f>
        <v/>
      </c>
    </row>
    <row r="39" spans="7:10" x14ac:dyDescent="0.2">
      <c r="G39" t="str">
        <f t="array" ref="G39">IFERROR(IFERROR(INDEX($A$2:$A$300, MATCH(0, COUNTIF($G$1:G38,$A$2:$A$300 ), 0)), INDEX($D$2:$D$300, MATCH(0, COUNTIF($G$1:G38,$D$2:$D$300 ), 0))), "")</f>
        <v/>
      </c>
      <c r="H39">
        <f>IFERROR(VLOOKUP(WP_Calc[[#This Row],[Team]],$A:$B,2,0),0)</f>
        <v>0</v>
      </c>
      <c r="I39">
        <f>IFERROR(VLOOKUP(WP_Calc[[#This Row],[Team]],$D:$E,2,0),0)</f>
        <v>0</v>
      </c>
      <c r="J39" s="6" t="str">
        <f>IFERROR(WP_Calc[[#This Row],[Wins]]/(WP_Calc[[#This Row],[Wins]]+WP_Calc[[#This Row],[Losses]]),"")</f>
        <v/>
      </c>
    </row>
    <row r="40" spans="7:10" x14ac:dyDescent="0.2">
      <c r="G40" t="str">
        <f t="array" ref="G40">IFERROR(IFERROR(INDEX($A$2:$A$300, MATCH(0, COUNTIF($G$1:G39,$A$2:$A$300 ), 0)), INDEX($D$2:$D$300, MATCH(0, COUNTIF($G$1:G39,$D$2:$D$300 ), 0))), "")</f>
        <v/>
      </c>
      <c r="H40">
        <f>IFERROR(VLOOKUP(WP_Calc[[#This Row],[Team]],$A:$B,2,0),0)</f>
        <v>0</v>
      </c>
      <c r="I40">
        <f>IFERROR(VLOOKUP(WP_Calc[[#This Row],[Team]],$D:$E,2,0),0)</f>
        <v>0</v>
      </c>
      <c r="J40" s="6" t="str">
        <f>IFERROR(WP_Calc[[#This Row],[Wins]]/(WP_Calc[[#This Row],[Wins]]+WP_Calc[[#This Row],[Losses]]),"")</f>
        <v/>
      </c>
    </row>
    <row r="41" spans="7:10" x14ac:dyDescent="0.2">
      <c r="G41" t="str">
        <f t="array" ref="G41">IFERROR(IFERROR(INDEX($A$2:$A$300, MATCH(0, COUNTIF($G$1:G40,$A$2:$A$300 ), 0)), INDEX($D$2:$D$300, MATCH(0, COUNTIF($G$1:G40,$D$2:$D$300 ), 0))), "")</f>
        <v/>
      </c>
      <c r="H41">
        <f>IFERROR(VLOOKUP(WP_Calc[[#This Row],[Team]],$A:$B,2,0),0)</f>
        <v>0</v>
      </c>
      <c r="I41">
        <f>IFERROR(VLOOKUP(WP_Calc[[#This Row],[Team]],$D:$E,2,0),0)</f>
        <v>0</v>
      </c>
      <c r="J41" s="6" t="str">
        <f>IFERROR(WP_Calc[[#This Row],[Wins]]/(WP_Calc[[#This Row],[Wins]]+WP_Calc[[#This Row],[Losses]]),"")</f>
        <v/>
      </c>
    </row>
    <row r="42" spans="7:10" x14ac:dyDescent="0.2">
      <c r="G42" t="str">
        <f t="array" ref="G42">IFERROR(IFERROR(INDEX($A$2:$A$300, MATCH(0, COUNTIF($G$1:G41,$A$2:$A$300 ), 0)), INDEX($D$2:$D$300, MATCH(0, COUNTIF($G$1:G41,$D$2:$D$300 ), 0))), "")</f>
        <v/>
      </c>
      <c r="H42">
        <f>IFERROR(VLOOKUP(WP_Calc[[#This Row],[Team]],$A:$B,2,0),0)</f>
        <v>0</v>
      </c>
      <c r="I42">
        <f>IFERROR(VLOOKUP(WP_Calc[[#This Row],[Team]],$D:$E,2,0),0)</f>
        <v>0</v>
      </c>
      <c r="J42" s="6" t="str">
        <f>IFERROR(WP_Calc[[#This Row],[Wins]]/(WP_Calc[[#This Row],[Wins]]+WP_Calc[[#This Row],[Losses]]),"")</f>
        <v/>
      </c>
    </row>
    <row r="43" spans="7:10" x14ac:dyDescent="0.2">
      <c r="G43" t="str">
        <f t="array" ref="G43">IFERROR(IFERROR(INDEX($A$2:$A$300, MATCH(0, COUNTIF($G$1:G42,$A$2:$A$300 ), 0)), INDEX($D$2:$D$300, MATCH(0, COUNTIF($G$1:G42,$D$2:$D$300 ), 0))), "")</f>
        <v/>
      </c>
      <c r="H43">
        <f>IFERROR(VLOOKUP(WP_Calc[[#This Row],[Team]],$A:$B,2,0),0)</f>
        <v>0</v>
      </c>
      <c r="I43">
        <f>IFERROR(VLOOKUP(WP_Calc[[#This Row],[Team]],$D:$E,2,0),0)</f>
        <v>0</v>
      </c>
      <c r="J43" s="6" t="str">
        <f>IFERROR(WP_Calc[[#This Row],[Wins]]/(WP_Calc[[#This Row],[Wins]]+WP_Calc[[#This Row],[Losses]]),"")</f>
        <v/>
      </c>
    </row>
    <row r="44" spans="7:10" x14ac:dyDescent="0.2">
      <c r="G44" t="str">
        <f t="array" ref="G44">IFERROR(IFERROR(INDEX($A$2:$A$300, MATCH(0, COUNTIF($G$1:G43,$A$2:$A$300 ), 0)), INDEX($D$2:$D$300, MATCH(0, COUNTIF($G$1:G43,$D$2:$D$300 ), 0))), "")</f>
        <v/>
      </c>
      <c r="H44">
        <f>IFERROR(VLOOKUP(WP_Calc[[#This Row],[Team]],$A:$B,2,0),0)</f>
        <v>0</v>
      </c>
      <c r="I44">
        <f>IFERROR(VLOOKUP(WP_Calc[[#This Row],[Team]],$D:$E,2,0),0)</f>
        <v>0</v>
      </c>
      <c r="J44" s="6" t="str">
        <f>IFERROR(WP_Calc[[#This Row],[Wins]]/(WP_Calc[[#This Row],[Wins]]+WP_Calc[[#This Row],[Losses]]),"")</f>
        <v/>
      </c>
    </row>
    <row r="45" spans="7:10" x14ac:dyDescent="0.2">
      <c r="G45" t="str">
        <f t="array" ref="G45">IFERROR(IFERROR(INDEX($A$2:$A$300, MATCH(0, COUNTIF($G$1:G44,$A$2:$A$300 ), 0)), INDEX($D$2:$D$300, MATCH(0, COUNTIF($G$1:G44,$D$2:$D$300 ), 0))), "")</f>
        <v/>
      </c>
      <c r="H45">
        <f>IFERROR(VLOOKUP(WP_Calc[[#This Row],[Team]],$A:$B,2,0),0)</f>
        <v>0</v>
      </c>
      <c r="I45">
        <f>IFERROR(VLOOKUP(WP_Calc[[#This Row],[Team]],$D:$E,2,0),0)</f>
        <v>0</v>
      </c>
      <c r="J45" s="6" t="str">
        <f>IFERROR(WP_Calc[[#This Row],[Wins]]/(WP_Calc[[#This Row],[Wins]]+WP_Calc[[#This Row],[Losses]]),"")</f>
        <v/>
      </c>
    </row>
    <row r="46" spans="7:10" x14ac:dyDescent="0.2">
      <c r="G46" t="str">
        <f t="array" ref="G46">IFERROR(IFERROR(INDEX($A$2:$A$300, MATCH(0, COUNTIF($G$1:G45,$A$2:$A$300 ), 0)), INDEX($D$2:$D$300, MATCH(0, COUNTIF($G$1:G45,$D$2:$D$300 ), 0))), "")</f>
        <v/>
      </c>
      <c r="H46">
        <f>IFERROR(VLOOKUP(WP_Calc[[#This Row],[Team]],$A:$B,2,0),0)</f>
        <v>0</v>
      </c>
      <c r="I46">
        <f>IFERROR(VLOOKUP(WP_Calc[[#This Row],[Team]],$D:$E,2,0),0)</f>
        <v>0</v>
      </c>
      <c r="J46" s="6" t="str">
        <f>IFERROR(WP_Calc[[#This Row],[Wins]]/(WP_Calc[[#This Row],[Wins]]+WP_Calc[[#This Row],[Losses]]),"")</f>
        <v/>
      </c>
    </row>
    <row r="47" spans="7:10" x14ac:dyDescent="0.2">
      <c r="G47" t="str">
        <f t="array" ref="G47">IFERROR(IFERROR(INDEX($A$2:$A$300, MATCH(0, COUNTIF($G$1:G46,$A$2:$A$300 ), 0)), INDEX($D$2:$D$300, MATCH(0, COUNTIF($G$1:G46,$D$2:$D$300 ), 0))), "")</f>
        <v/>
      </c>
      <c r="H47">
        <f>IFERROR(VLOOKUP(WP_Calc[[#This Row],[Team]],$A:$B,2,0),0)</f>
        <v>0</v>
      </c>
      <c r="I47">
        <f>IFERROR(VLOOKUP(WP_Calc[[#This Row],[Team]],$D:$E,2,0),0)</f>
        <v>0</v>
      </c>
      <c r="J47" s="6" t="str">
        <f>IFERROR(WP_Calc[[#This Row],[Wins]]/(WP_Calc[[#This Row],[Wins]]+WP_Calc[[#This Row],[Losses]]),"")</f>
        <v/>
      </c>
    </row>
    <row r="48" spans="7:10" x14ac:dyDescent="0.2">
      <c r="G48" t="str">
        <f t="array" ref="G48">IFERROR(IFERROR(INDEX($A$2:$A$300, MATCH(0, COUNTIF($G$1:G47,$A$2:$A$300 ), 0)), INDEX($D$2:$D$300, MATCH(0, COUNTIF($G$1:G47,$D$2:$D$300 ), 0))), "")</f>
        <v/>
      </c>
      <c r="H48">
        <f>IFERROR(VLOOKUP(WP_Calc[[#This Row],[Team]],$A:$B,2,0),0)</f>
        <v>0</v>
      </c>
      <c r="I48">
        <f>IFERROR(VLOOKUP(WP_Calc[[#This Row],[Team]],$D:$E,2,0),0)</f>
        <v>0</v>
      </c>
      <c r="J48" s="6" t="str">
        <f>IFERROR(WP_Calc[[#This Row],[Wins]]/(WP_Calc[[#This Row],[Wins]]+WP_Calc[[#This Row],[Losses]]),"")</f>
        <v/>
      </c>
    </row>
    <row r="49" spans="7:10" x14ac:dyDescent="0.2">
      <c r="G49" t="str">
        <f t="array" ref="G49">IFERROR(IFERROR(INDEX($A$2:$A$300, MATCH(0, COUNTIF($G$1:G48,$A$2:$A$300 ), 0)), INDEX($D$2:$D$300, MATCH(0, COUNTIF($G$1:G48,$D$2:$D$300 ), 0))), "")</f>
        <v/>
      </c>
      <c r="H49">
        <f>IFERROR(VLOOKUP(WP_Calc[[#This Row],[Team]],$A:$B,2,0),0)</f>
        <v>0</v>
      </c>
      <c r="I49">
        <f>IFERROR(VLOOKUP(WP_Calc[[#This Row],[Team]],$D:$E,2,0),0)</f>
        <v>0</v>
      </c>
      <c r="J49" s="6" t="str">
        <f>IFERROR(WP_Calc[[#This Row],[Wins]]/(WP_Calc[[#This Row],[Wins]]+WP_Calc[[#This Row],[Losses]]),"")</f>
        <v/>
      </c>
    </row>
    <row r="50" spans="7:10" x14ac:dyDescent="0.2">
      <c r="G50" t="str">
        <f t="array" ref="G50">IFERROR(IFERROR(INDEX($A$2:$A$300, MATCH(0, COUNTIF($G$1:G49,$A$2:$A$300 ), 0)), INDEX($D$2:$D$300, MATCH(0, COUNTIF($G$1:G49,$D$2:$D$300 ), 0))), "")</f>
        <v/>
      </c>
      <c r="H50">
        <f>IFERROR(VLOOKUP(WP_Calc[[#This Row],[Team]],$A:$B,2,0),0)</f>
        <v>0</v>
      </c>
      <c r="I50">
        <f>IFERROR(VLOOKUP(WP_Calc[[#This Row],[Team]],$D:$E,2,0),0)</f>
        <v>0</v>
      </c>
      <c r="J50" s="6" t="str">
        <f>IFERROR(WP_Calc[[#This Row],[Wins]]/(WP_Calc[[#This Row],[Wins]]+WP_Calc[[#This Row],[Losses]]),"")</f>
        <v/>
      </c>
    </row>
    <row r="51" spans="7:10" x14ac:dyDescent="0.2">
      <c r="G51" t="str">
        <f t="array" ref="G51">IFERROR(IFERROR(INDEX($A$2:$A$300, MATCH(0, COUNTIF($G$1:G50,$A$2:$A$300 ), 0)), INDEX($D$2:$D$300, MATCH(0, COUNTIF($G$1:G50,$D$2:$D$300 ), 0))), "")</f>
        <v/>
      </c>
      <c r="H51">
        <f>IFERROR(VLOOKUP(WP_Calc[[#This Row],[Team]],$A:$B,2,0),0)</f>
        <v>0</v>
      </c>
      <c r="I51">
        <f>IFERROR(VLOOKUP(WP_Calc[[#This Row],[Team]],$D:$E,2,0),0)</f>
        <v>0</v>
      </c>
      <c r="J51" s="6" t="str">
        <f>IFERROR(WP_Calc[[#This Row],[Wins]]/(WP_Calc[[#This Row],[Wins]]+WP_Calc[[#This Row],[Losses]]),"")</f>
        <v/>
      </c>
    </row>
    <row r="52" spans="7:10" x14ac:dyDescent="0.2">
      <c r="G52" t="str">
        <f t="array" ref="G52">IFERROR(IFERROR(INDEX($A$2:$A$300, MATCH(0, COUNTIF($G$1:G51,$A$2:$A$300 ), 0)), INDEX($D$2:$D$300, MATCH(0, COUNTIF($G$1:G51,$D$2:$D$300 ), 0))), "")</f>
        <v/>
      </c>
      <c r="H52">
        <f>IFERROR(VLOOKUP(WP_Calc[[#This Row],[Team]],$A:$B,2,0),0)</f>
        <v>0</v>
      </c>
      <c r="I52">
        <f>IFERROR(VLOOKUP(WP_Calc[[#This Row],[Team]],$D:$E,2,0),0)</f>
        <v>0</v>
      </c>
      <c r="J52" s="6" t="str">
        <f>IFERROR(WP_Calc[[#This Row],[Wins]]/(WP_Calc[[#This Row],[Wins]]+WP_Calc[[#This Row],[Losses]]),"")</f>
        <v/>
      </c>
    </row>
    <row r="53" spans="7:10" x14ac:dyDescent="0.2">
      <c r="G53" t="str">
        <f t="array" ref="G53">IFERROR(IFERROR(INDEX($A$2:$A$300, MATCH(0, COUNTIF($G$1:G52,$A$2:$A$300 ), 0)), INDEX($D$2:$D$300, MATCH(0, COUNTIF($G$1:G52,$D$2:$D$300 ), 0))), "")</f>
        <v/>
      </c>
      <c r="H53">
        <f>IFERROR(VLOOKUP(WP_Calc[[#This Row],[Team]],$A:$B,2,0),0)</f>
        <v>0</v>
      </c>
      <c r="I53">
        <f>IFERROR(VLOOKUP(WP_Calc[[#This Row],[Team]],$D:$E,2,0),0)</f>
        <v>0</v>
      </c>
      <c r="J53" s="6" t="str">
        <f>IFERROR(WP_Calc[[#This Row],[Wins]]/(WP_Calc[[#This Row],[Wins]]+WP_Calc[[#This Row],[Losses]]),"")</f>
        <v/>
      </c>
    </row>
    <row r="54" spans="7:10" x14ac:dyDescent="0.2">
      <c r="G54" t="str">
        <f t="array" ref="G54">IFERROR(IFERROR(INDEX($A$2:$A$300, MATCH(0, COUNTIF($G$1:G53,$A$2:$A$300 ), 0)), INDEX($D$2:$D$300, MATCH(0, COUNTIF($G$1:G53,$D$2:$D$300 ), 0))), "")</f>
        <v/>
      </c>
      <c r="H54">
        <f>IFERROR(VLOOKUP(WP_Calc[[#This Row],[Team]],$A:$B,2,0),0)</f>
        <v>0</v>
      </c>
      <c r="I54">
        <f>IFERROR(VLOOKUP(WP_Calc[[#This Row],[Team]],$D:$E,2,0),0)</f>
        <v>0</v>
      </c>
      <c r="J54" s="6" t="str">
        <f>IFERROR(WP_Calc[[#This Row],[Wins]]/(WP_Calc[[#This Row],[Wins]]+WP_Calc[[#This Row],[Losses]]),"")</f>
        <v/>
      </c>
    </row>
    <row r="55" spans="7:10" x14ac:dyDescent="0.2">
      <c r="G55" t="str">
        <f t="array" ref="G55">IFERROR(IFERROR(INDEX($A$2:$A$300, MATCH(0, COUNTIF($G$1:G54,$A$2:$A$300 ), 0)), INDEX($D$2:$D$300, MATCH(0, COUNTIF($G$1:G54,$D$2:$D$300 ), 0))), "")</f>
        <v/>
      </c>
      <c r="H55">
        <f>IFERROR(VLOOKUP(WP_Calc[[#This Row],[Team]],$A:$B,2,0),0)</f>
        <v>0</v>
      </c>
      <c r="I55">
        <f>IFERROR(VLOOKUP(WP_Calc[[#This Row],[Team]],$D:$E,2,0),0)</f>
        <v>0</v>
      </c>
      <c r="J55" s="6" t="str">
        <f>IFERROR(WP_Calc[[#This Row],[Wins]]/(WP_Calc[[#This Row],[Wins]]+WP_Calc[[#This Row],[Losses]]),"")</f>
        <v/>
      </c>
    </row>
    <row r="56" spans="7:10" x14ac:dyDescent="0.2">
      <c r="G56" t="str">
        <f t="array" ref="G56">IFERROR(IFERROR(INDEX($A$2:$A$300, MATCH(0, COUNTIF($G$1:G55,$A$2:$A$300 ), 0)), INDEX($D$2:$D$300, MATCH(0, COUNTIF($G$1:G55,$D$2:$D$300 ), 0))), "")</f>
        <v/>
      </c>
      <c r="H56">
        <f>IFERROR(VLOOKUP(WP_Calc[[#This Row],[Team]],$A:$B,2,0),0)</f>
        <v>0</v>
      </c>
      <c r="I56">
        <f>IFERROR(VLOOKUP(WP_Calc[[#This Row],[Team]],$D:$E,2,0),0)</f>
        <v>0</v>
      </c>
      <c r="J56" s="6" t="str">
        <f>IFERROR(WP_Calc[[#This Row],[Wins]]/(WP_Calc[[#This Row],[Wins]]+WP_Calc[[#This Row],[Losses]]),"")</f>
        <v/>
      </c>
    </row>
    <row r="57" spans="7:10" x14ac:dyDescent="0.2">
      <c r="G57" t="str">
        <f t="array" ref="G57">IFERROR(IFERROR(INDEX($A$2:$A$300, MATCH(0, COUNTIF($G$1:G56,$A$2:$A$300 ), 0)), INDEX($D$2:$D$300, MATCH(0, COUNTIF($G$1:G56,$D$2:$D$300 ), 0))), "")</f>
        <v/>
      </c>
      <c r="H57">
        <f>IFERROR(VLOOKUP(WP_Calc[[#This Row],[Team]],$A:$B,2,0),0)</f>
        <v>0</v>
      </c>
      <c r="I57">
        <f>IFERROR(VLOOKUP(WP_Calc[[#This Row],[Team]],$D:$E,2,0),0)</f>
        <v>0</v>
      </c>
      <c r="J57" s="6" t="str">
        <f>IFERROR(WP_Calc[[#This Row],[Wins]]/(WP_Calc[[#This Row],[Wins]]+WP_Calc[[#This Row],[Losses]]),"")</f>
        <v/>
      </c>
    </row>
    <row r="58" spans="7:10" x14ac:dyDescent="0.2">
      <c r="G58" t="str">
        <f t="array" ref="G58">IFERROR(IFERROR(INDEX($A$2:$A$300, MATCH(0, COUNTIF($G$1:G57,$A$2:$A$300 ), 0)), INDEX($D$2:$D$300, MATCH(0, COUNTIF($G$1:G57,$D$2:$D$300 ), 0))), "")</f>
        <v/>
      </c>
      <c r="H58">
        <f>IFERROR(VLOOKUP(WP_Calc[[#This Row],[Team]],$A:$B,2,0),0)</f>
        <v>0</v>
      </c>
      <c r="I58">
        <f>IFERROR(VLOOKUP(WP_Calc[[#This Row],[Team]],$D:$E,2,0),0)</f>
        <v>0</v>
      </c>
      <c r="J58" s="6" t="str">
        <f>IFERROR(WP_Calc[[#This Row],[Wins]]/(WP_Calc[[#This Row],[Wins]]+WP_Calc[[#This Row],[Losses]]),"")</f>
        <v/>
      </c>
    </row>
    <row r="59" spans="7:10" x14ac:dyDescent="0.2">
      <c r="G59" t="str">
        <f t="array" ref="G59">IFERROR(IFERROR(INDEX($A$2:$A$300, MATCH(0, COUNTIF($G$1:G58,$A$2:$A$300 ), 0)), INDEX($D$2:$D$300, MATCH(0, COUNTIF($G$1:G58,$D$2:$D$300 ), 0))), "")</f>
        <v/>
      </c>
      <c r="H59">
        <f>IFERROR(VLOOKUP(WP_Calc[[#This Row],[Team]],$A:$B,2,0),0)</f>
        <v>0</v>
      </c>
      <c r="I59">
        <f>IFERROR(VLOOKUP(WP_Calc[[#This Row],[Team]],$D:$E,2,0),0)</f>
        <v>0</v>
      </c>
      <c r="J59" s="6" t="str">
        <f>IFERROR(WP_Calc[[#This Row],[Wins]]/(WP_Calc[[#This Row],[Wins]]+WP_Calc[[#This Row],[Losses]]),"")</f>
        <v/>
      </c>
    </row>
    <row r="60" spans="7:10" x14ac:dyDescent="0.2">
      <c r="G60" t="str">
        <f t="array" ref="G60">IFERROR(IFERROR(INDEX($A$2:$A$300, MATCH(0, COUNTIF($G$1:G59,$A$2:$A$300 ), 0)), INDEX($D$2:$D$300, MATCH(0, COUNTIF($G$1:G59,$D$2:$D$300 ), 0))), "")</f>
        <v/>
      </c>
      <c r="H60">
        <f>IFERROR(VLOOKUP(WP_Calc[[#This Row],[Team]],$A:$B,2,0),0)</f>
        <v>0</v>
      </c>
      <c r="I60">
        <f>IFERROR(VLOOKUP(WP_Calc[[#This Row],[Team]],$D:$E,2,0),0)</f>
        <v>0</v>
      </c>
      <c r="J60" s="6" t="str">
        <f>IFERROR(WP_Calc[[#This Row],[Wins]]/(WP_Calc[[#This Row],[Wins]]+WP_Calc[[#This Row],[Losses]]),"")</f>
        <v/>
      </c>
    </row>
    <row r="61" spans="7:10" x14ac:dyDescent="0.2">
      <c r="G61" t="str">
        <f t="array" ref="G61">IFERROR(IFERROR(INDEX($A$2:$A$300, MATCH(0, COUNTIF($G$1:G60,$A$2:$A$300 ), 0)), INDEX($D$2:$D$300, MATCH(0, COUNTIF($G$1:G60,$D$2:$D$300 ), 0))), "")</f>
        <v/>
      </c>
      <c r="H61">
        <f>IFERROR(VLOOKUP(WP_Calc[[#This Row],[Team]],$A:$B,2,0),0)</f>
        <v>0</v>
      </c>
      <c r="I61">
        <f>IFERROR(VLOOKUP(WP_Calc[[#This Row],[Team]],$D:$E,2,0),0)</f>
        <v>0</v>
      </c>
      <c r="J61" s="6" t="str">
        <f>IFERROR(WP_Calc[[#This Row],[Wins]]/(WP_Calc[[#This Row],[Wins]]+WP_Calc[[#This Row],[Losses]]),"")</f>
        <v/>
      </c>
    </row>
    <row r="62" spans="7:10" x14ac:dyDescent="0.2">
      <c r="G62" t="str">
        <f t="array" ref="G62">IFERROR(IFERROR(INDEX($A$2:$A$300, MATCH(0, COUNTIF($G$1:G61,$A$2:$A$300 ), 0)), INDEX($D$2:$D$300, MATCH(0, COUNTIF($G$1:G61,$D$2:$D$300 ), 0))), "")</f>
        <v/>
      </c>
      <c r="H62">
        <f>IFERROR(VLOOKUP(WP_Calc[[#This Row],[Team]],$A:$B,2,0),0)</f>
        <v>0</v>
      </c>
      <c r="I62">
        <f>IFERROR(VLOOKUP(WP_Calc[[#This Row],[Team]],$D:$E,2,0),0)</f>
        <v>0</v>
      </c>
      <c r="J62" s="6" t="str">
        <f>IFERROR(WP_Calc[[#This Row],[Wins]]/(WP_Calc[[#This Row],[Wins]]+WP_Calc[[#This Row],[Losses]]),"")</f>
        <v/>
      </c>
    </row>
    <row r="63" spans="7:10" x14ac:dyDescent="0.2">
      <c r="G63" t="str">
        <f t="array" ref="G63">IFERROR(IFERROR(INDEX($A$2:$A$300, MATCH(0, COUNTIF($G$1:G62,$A$2:$A$300 ), 0)), INDEX($D$2:$D$300, MATCH(0, COUNTIF($G$1:G62,$D$2:$D$300 ), 0))), "")</f>
        <v/>
      </c>
      <c r="H63">
        <f>IFERROR(VLOOKUP(WP_Calc[[#This Row],[Team]],$A:$B,2,0),0)</f>
        <v>0</v>
      </c>
      <c r="I63">
        <f>IFERROR(VLOOKUP(WP_Calc[[#This Row],[Team]],$D:$E,2,0),0)</f>
        <v>0</v>
      </c>
      <c r="J63" s="6" t="str">
        <f>IFERROR(WP_Calc[[#This Row],[Wins]]/(WP_Calc[[#This Row],[Wins]]+WP_Calc[[#This Row],[Losses]]),"")</f>
        <v/>
      </c>
    </row>
    <row r="64" spans="7:10" x14ac:dyDescent="0.2">
      <c r="G64" t="str">
        <f t="array" ref="G64">IFERROR(IFERROR(INDEX($A$2:$A$300, MATCH(0, COUNTIF($G$1:G63,$A$2:$A$300 ), 0)), INDEX($D$2:$D$300, MATCH(0, COUNTIF($G$1:G63,$D$2:$D$300 ), 0))), "")</f>
        <v/>
      </c>
      <c r="H64">
        <f>IFERROR(VLOOKUP(WP_Calc[[#This Row],[Team]],$A:$B,2,0),0)</f>
        <v>0</v>
      </c>
      <c r="I64">
        <f>IFERROR(VLOOKUP(WP_Calc[[#This Row],[Team]],$D:$E,2,0),0)</f>
        <v>0</v>
      </c>
      <c r="J64" s="6" t="str">
        <f>IFERROR(WP_Calc[[#This Row],[Wins]]/(WP_Calc[[#This Row],[Wins]]+WP_Calc[[#This Row],[Losses]]),"")</f>
        <v/>
      </c>
    </row>
    <row r="65" spans="7:10" x14ac:dyDescent="0.2">
      <c r="G65" t="str">
        <f t="array" ref="G65">IFERROR(IFERROR(INDEX($A$2:$A$300, MATCH(0, COUNTIF($G$1:G64,$A$2:$A$300 ), 0)), INDEX($D$2:$D$300, MATCH(0, COUNTIF($G$1:G64,$D$2:$D$300 ), 0))), "")</f>
        <v/>
      </c>
      <c r="H65">
        <f>IFERROR(VLOOKUP(WP_Calc[[#This Row],[Team]],$A:$B,2,0),0)</f>
        <v>0</v>
      </c>
      <c r="I65">
        <f>IFERROR(VLOOKUP(WP_Calc[[#This Row],[Team]],$D:$E,2,0),0)</f>
        <v>0</v>
      </c>
      <c r="J65" s="6" t="str">
        <f>IFERROR(WP_Calc[[#This Row],[Wins]]/(WP_Calc[[#This Row],[Wins]]+WP_Calc[[#This Row],[Losses]]),"")</f>
        <v/>
      </c>
    </row>
    <row r="66" spans="7:10" x14ac:dyDescent="0.2">
      <c r="G66" t="str">
        <f t="array" ref="G66">IFERROR(IFERROR(INDEX($A$2:$A$300, MATCH(0, COUNTIF($G$1:G65,$A$2:$A$300 ), 0)), INDEX($D$2:$D$300, MATCH(0, COUNTIF($G$1:G65,$D$2:$D$300 ), 0))), "")</f>
        <v/>
      </c>
      <c r="H66">
        <f>IFERROR(VLOOKUP(WP_Calc[[#This Row],[Team]],$A:$B,2,0),0)</f>
        <v>0</v>
      </c>
      <c r="I66">
        <f>IFERROR(VLOOKUP(WP_Calc[[#This Row],[Team]],$D:$E,2,0),0)</f>
        <v>0</v>
      </c>
      <c r="J66" s="6" t="str">
        <f>IFERROR(WP_Calc[[#This Row],[Wins]]/(WP_Calc[[#This Row],[Wins]]+WP_Calc[[#This Row],[Losses]]),"")</f>
        <v/>
      </c>
    </row>
    <row r="67" spans="7:10" x14ac:dyDescent="0.2">
      <c r="G67" t="str">
        <f t="array" ref="G67">IFERROR(IFERROR(INDEX($A$2:$A$300, MATCH(0, COUNTIF($G$1:G66,$A$2:$A$300 ), 0)), INDEX($D$2:$D$300, MATCH(0, COUNTIF($G$1:G66,$D$2:$D$300 ), 0))), "")</f>
        <v/>
      </c>
      <c r="H67">
        <f>IFERROR(VLOOKUP(WP_Calc[[#This Row],[Team]],$A:$B,2,0),0)</f>
        <v>0</v>
      </c>
      <c r="I67">
        <f>IFERROR(VLOOKUP(WP_Calc[[#This Row],[Team]],$D:$E,2,0),0)</f>
        <v>0</v>
      </c>
      <c r="J67" s="6" t="str">
        <f>IFERROR(WP_Calc[[#This Row],[Wins]]/(WP_Calc[[#This Row],[Wins]]+WP_Calc[[#This Row],[Losses]]),"")</f>
        <v/>
      </c>
    </row>
    <row r="68" spans="7:10" x14ac:dyDescent="0.2">
      <c r="G68" t="str">
        <f t="array" ref="G68">IFERROR(IFERROR(INDEX($A$2:$A$300, MATCH(0, COUNTIF($G$1:G67,$A$2:$A$300 ), 0)), INDEX($D$2:$D$300, MATCH(0, COUNTIF($G$1:G67,$D$2:$D$300 ), 0))), "")</f>
        <v/>
      </c>
      <c r="H68">
        <f>IFERROR(VLOOKUP(WP_Calc[[#This Row],[Team]],$A:$B,2,0),0)</f>
        <v>0</v>
      </c>
      <c r="I68">
        <f>IFERROR(VLOOKUP(WP_Calc[[#This Row],[Team]],$D:$E,2,0),0)</f>
        <v>0</v>
      </c>
      <c r="J68" s="6" t="str">
        <f>IFERROR(WP_Calc[[#This Row],[Wins]]/(WP_Calc[[#This Row],[Wins]]+WP_Calc[[#This Row],[Losses]]),"")</f>
        <v/>
      </c>
    </row>
    <row r="69" spans="7:10" x14ac:dyDescent="0.2">
      <c r="G69" t="str">
        <f t="array" ref="G69">IFERROR(IFERROR(INDEX($A$2:$A$300, MATCH(0, COUNTIF($G$1:G68,$A$2:$A$300 ), 0)), INDEX($D$2:$D$300, MATCH(0, COUNTIF($G$1:G68,$D$2:$D$300 ), 0))), "")</f>
        <v/>
      </c>
      <c r="H69">
        <f>IFERROR(VLOOKUP(WP_Calc[[#This Row],[Team]],$A:$B,2,0),0)</f>
        <v>0</v>
      </c>
      <c r="I69">
        <f>IFERROR(VLOOKUP(WP_Calc[[#This Row],[Team]],$D:$E,2,0),0)</f>
        <v>0</v>
      </c>
      <c r="J69" s="6" t="str">
        <f>IFERROR(WP_Calc[[#This Row],[Wins]]/(WP_Calc[[#This Row],[Wins]]+WP_Calc[[#This Row],[Losses]]),"")</f>
        <v/>
      </c>
    </row>
    <row r="70" spans="7:10" x14ac:dyDescent="0.2">
      <c r="G70" t="str">
        <f t="array" ref="G70">IFERROR(IFERROR(INDEX($A$2:$A$300, MATCH(0, COUNTIF($G$1:G69,$A$2:$A$300 ), 0)), INDEX($D$2:$D$300, MATCH(0, COUNTIF($G$1:G69,$D$2:$D$300 ), 0))), "")</f>
        <v/>
      </c>
      <c r="H70">
        <f>IFERROR(VLOOKUP(WP_Calc[[#This Row],[Team]],$A:$B,2,0),0)</f>
        <v>0</v>
      </c>
      <c r="I70">
        <f>IFERROR(VLOOKUP(WP_Calc[[#This Row],[Team]],$D:$E,2,0),0)</f>
        <v>0</v>
      </c>
      <c r="J70" s="6" t="str">
        <f>IFERROR(WP_Calc[[#This Row],[Wins]]/(WP_Calc[[#This Row],[Wins]]+WP_Calc[[#This Row],[Losses]]),"")</f>
        <v/>
      </c>
    </row>
    <row r="71" spans="7:10" x14ac:dyDescent="0.2">
      <c r="G71" t="str">
        <f t="array" ref="G71">IFERROR(IFERROR(INDEX($A$2:$A$300, MATCH(0, COUNTIF($G$1:G70,$A$2:$A$300 ), 0)), INDEX($D$2:$D$300, MATCH(0, COUNTIF($G$1:G70,$D$2:$D$300 ), 0))), "")</f>
        <v/>
      </c>
      <c r="H71">
        <f>IFERROR(VLOOKUP(WP_Calc[[#This Row],[Team]],$A:$B,2,0),0)</f>
        <v>0</v>
      </c>
      <c r="I71">
        <f>IFERROR(VLOOKUP(WP_Calc[[#This Row],[Team]],$D:$E,2,0),0)</f>
        <v>0</v>
      </c>
      <c r="J71" s="6" t="str">
        <f>IFERROR(WP_Calc[[#This Row],[Wins]]/(WP_Calc[[#This Row],[Wins]]+WP_Calc[[#This Row],[Losses]]),"")</f>
        <v/>
      </c>
    </row>
    <row r="72" spans="7:10" x14ac:dyDescent="0.2">
      <c r="G72" t="str">
        <f t="array" ref="G72">IFERROR(IFERROR(INDEX($A$2:$A$300, MATCH(0, COUNTIF($G$1:G71,$A$2:$A$300 ), 0)), INDEX($D$2:$D$300, MATCH(0, COUNTIF($G$1:G71,$D$2:$D$300 ), 0))), "")</f>
        <v/>
      </c>
      <c r="H72">
        <f>IFERROR(VLOOKUP(WP_Calc[[#This Row],[Team]],$A:$B,2,0),0)</f>
        <v>0</v>
      </c>
      <c r="I72">
        <f>IFERROR(VLOOKUP(WP_Calc[[#This Row],[Team]],$D:$E,2,0),0)</f>
        <v>0</v>
      </c>
      <c r="J72" s="6" t="str">
        <f>IFERROR(WP_Calc[[#This Row],[Wins]]/(WP_Calc[[#This Row],[Wins]]+WP_Calc[[#This Row],[Losses]]),"")</f>
        <v/>
      </c>
    </row>
    <row r="73" spans="7:10" x14ac:dyDescent="0.2">
      <c r="G73" t="str">
        <f t="array" ref="G73">IFERROR(IFERROR(INDEX($A$2:$A$300, MATCH(0, COUNTIF($G$1:G72,$A$2:$A$300 ), 0)), INDEX($D$2:$D$300, MATCH(0, COUNTIF($G$1:G72,$D$2:$D$300 ), 0))), "")</f>
        <v/>
      </c>
      <c r="H73">
        <f>IFERROR(VLOOKUP(WP_Calc[[#This Row],[Team]],$A:$B,2,0),0)</f>
        <v>0</v>
      </c>
      <c r="I73">
        <f>IFERROR(VLOOKUP(WP_Calc[[#This Row],[Team]],$D:$E,2,0),0)</f>
        <v>0</v>
      </c>
      <c r="J73" s="6" t="str">
        <f>IFERROR(WP_Calc[[#This Row],[Wins]]/(WP_Calc[[#This Row],[Wins]]+WP_Calc[[#This Row],[Losses]]),"")</f>
        <v/>
      </c>
    </row>
    <row r="74" spans="7:10" x14ac:dyDescent="0.2">
      <c r="G74" t="str">
        <f t="array" ref="G74">IFERROR(IFERROR(INDEX($A$2:$A$300, MATCH(0, COUNTIF($G$1:G73,$A$2:$A$300 ), 0)), INDEX($D$2:$D$300, MATCH(0, COUNTIF($G$1:G73,$D$2:$D$300 ), 0))), "")</f>
        <v/>
      </c>
      <c r="H74">
        <f>IFERROR(VLOOKUP(WP_Calc[[#This Row],[Team]],$A:$B,2,0),0)</f>
        <v>0</v>
      </c>
      <c r="I74">
        <f>IFERROR(VLOOKUP(WP_Calc[[#This Row],[Team]],$D:$E,2,0),0)</f>
        <v>0</v>
      </c>
      <c r="J74" s="6" t="str">
        <f>IFERROR(WP_Calc[[#This Row],[Wins]]/(WP_Calc[[#This Row],[Wins]]+WP_Calc[[#This Row],[Losses]]),"")</f>
        <v/>
      </c>
    </row>
    <row r="75" spans="7:10" x14ac:dyDescent="0.2">
      <c r="G75" t="str">
        <f t="array" ref="G75">IFERROR(IFERROR(INDEX($A$2:$A$300, MATCH(0, COUNTIF($G$1:G74,$A$2:$A$300 ), 0)), INDEX($D$2:$D$300, MATCH(0, COUNTIF($G$1:G74,$D$2:$D$300 ), 0))), "")</f>
        <v/>
      </c>
      <c r="H75">
        <f>IFERROR(VLOOKUP(WP_Calc[[#This Row],[Team]],$A:$B,2,0),0)</f>
        <v>0</v>
      </c>
      <c r="I75">
        <f>IFERROR(VLOOKUP(WP_Calc[[#This Row],[Team]],$D:$E,2,0),0)</f>
        <v>0</v>
      </c>
      <c r="J75" s="6" t="str">
        <f>IFERROR(WP_Calc[[#This Row],[Wins]]/(WP_Calc[[#This Row],[Wins]]+WP_Calc[[#This Row],[Losses]]),"")</f>
        <v/>
      </c>
    </row>
    <row r="76" spans="7:10" x14ac:dyDescent="0.2">
      <c r="G76" t="str">
        <f t="array" ref="G76">IFERROR(IFERROR(INDEX($A$2:$A$300, MATCH(0, COUNTIF($G$1:G75,$A$2:$A$300 ), 0)), INDEX($D$2:$D$300, MATCH(0, COUNTIF($G$1:G75,$D$2:$D$300 ), 0))), "")</f>
        <v/>
      </c>
      <c r="H76">
        <f>IFERROR(VLOOKUP(WP_Calc[[#This Row],[Team]],$A:$B,2,0),0)</f>
        <v>0</v>
      </c>
      <c r="I76">
        <f>IFERROR(VLOOKUP(WP_Calc[[#This Row],[Team]],$D:$E,2,0),0)</f>
        <v>0</v>
      </c>
      <c r="J76" s="6" t="str">
        <f>IFERROR(WP_Calc[[#This Row],[Wins]]/(WP_Calc[[#This Row],[Wins]]+WP_Calc[[#This Row],[Losses]]),"")</f>
        <v/>
      </c>
    </row>
    <row r="77" spans="7:10" x14ac:dyDescent="0.2">
      <c r="G77" t="str">
        <f t="array" ref="G77">IFERROR(IFERROR(INDEX($A$2:$A$300, MATCH(0, COUNTIF($G$1:G76,$A$2:$A$300 ), 0)), INDEX($D$2:$D$300, MATCH(0, COUNTIF($G$1:G76,$D$2:$D$300 ), 0))), "")</f>
        <v/>
      </c>
      <c r="H77">
        <f>IFERROR(VLOOKUP(WP_Calc[[#This Row],[Team]],$A:$B,2,0),0)</f>
        <v>0</v>
      </c>
      <c r="I77">
        <f>IFERROR(VLOOKUP(WP_Calc[[#This Row],[Team]],$D:$E,2,0),0)</f>
        <v>0</v>
      </c>
      <c r="J77" s="6" t="str">
        <f>IFERROR(WP_Calc[[#This Row],[Wins]]/(WP_Calc[[#This Row],[Wins]]+WP_Calc[[#This Row],[Losses]]),"")</f>
        <v/>
      </c>
    </row>
    <row r="78" spans="7:10" x14ac:dyDescent="0.2">
      <c r="G78" t="str">
        <f t="array" ref="G78">IFERROR(IFERROR(INDEX($A$2:$A$300, MATCH(0, COUNTIF($G$1:G77,$A$2:$A$300 ), 0)), INDEX($D$2:$D$300, MATCH(0, COUNTIF($G$1:G77,$D$2:$D$300 ), 0))), "")</f>
        <v/>
      </c>
      <c r="H78">
        <f>IFERROR(VLOOKUP(WP_Calc[[#This Row],[Team]],$A:$B,2,0),0)</f>
        <v>0</v>
      </c>
      <c r="I78">
        <f>IFERROR(VLOOKUP(WP_Calc[[#This Row],[Team]],$D:$E,2,0),0)</f>
        <v>0</v>
      </c>
      <c r="J78" s="6" t="str">
        <f>IFERROR(WP_Calc[[#This Row],[Wins]]/(WP_Calc[[#This Row],[Wins]]+WP_Calc[[#This Row],[Losses]]),"")</f>
        <v/>
      </c>
    </row>
    <row r="79" spans="7:10" x14ac:dyDescent="0.2">
      <c r="G79" t="str">
        <f t="array" ref="G79">IFERROR(IFERROR(INDEX($A$2:$A$300, MATCH(0, COUNTIF($G$1:G78,$A$2:$A$300 ), 0)), INDEX($D$2:$D$300, MATCH(0, COUNTIF($G$1:G78,$D$2:$D$300 ), 0))), "")</f>
        <v/>
      </c>
      <c r="H79">
        <f>IFERROR(VLOOKUP(WP_Calc[[#This Row],[Team]],$A:$B,2,0),0)</f>
        <v>0</v>
      </c>
      <c r="I79">
        <f>IFERROR(VLOOKUP(WP_Calc[[#This Row],[Team]],$D:$E,2,0),0)</f>
        <v>0</v>
      </c>
      <c r="J79" s="6" t="str">
        <f>IFERROR(WP_Calc[[#This Row],[Wins]]/(WP_Calc[[#This Row],[Wins]]+WP_Calc[[#This Row],[Losses]]),"")</f>
        <v/>
      </c>
    </row>
    <row r="80" spans="7:10" x14ac:dyDescent="0.2">
      <c r="G80" t="str">
        <f t="array" ref="G80">IFERROR(IFERROR(INDEX($A$2:$A$300, MATCH(0, COUNTIF($G$1:G79,$A$2:$A$300 ), 0)), INDEX($D$2:$D$300, MATCH(0, COUNTIF($G$1:G79,$D$2:$D$300 ), 0))), "")</f>
        <v/>
      </c>
      <c r="H80">
        <f>IFERROR(VLOOKUP(WP_Calc[[#This Row],[Team]],$A:$B,2,0),0)</f>
        <v>0</v>
      </c>
      <c r="I80">
        <f>IFERROR(VLOOKUP(WP_Calc[[#This Row],[Team]],$D:$E,2,0),0)</f>
        <v>0</v>
      </c>
      <c r="J80" s="6" t="str">
        <f>IFERROR(WP_Calc[[#This Row],[Wins]]/(WP_Calc[[#This Row],[Wins]]+WP_Calc[[#This Row],[Losses]]),"")</f>
        <v/>
      </c>
    </row>
    <row r="81" spans="7:10" x14ac:dyDescent="0.2">
      <c r="G81" t="str">
        <f t="array" ref="G81">IFERROR(IFERROR(INDEX($A$2:$A$300, MATCH(0, COUNTIF($G$1:G80,$A$2:$A$300 ), 0)), INDEX($D$2:$D$300, MATCH(0, COUNTIF($G$1:G80,$D$2:$D$300 ), 0))), "")</f>
        <v/>
      </c>
      <c r="H81">
        <f>IFERROR(VLOOKUP(WP_Calc[[#This Row],[Team]],$A:$B,2,0),0)</f>
        <v>0</v>
      </c>
      <c r="I81">
        <f>IFERROR(VLOOKUP(WP_Calc[[#This Row],[Team]],$D:$E,2,0),0)</f>
        <v>0</v>
      </c>
      <c r="J81" s="6" t="str">
        <f>IFERROR(WP_Calc[[#This Row],[Wins]]/(WP_Calc[[#This Row],[Wins]]+WP_Calc[[#This Row],[Losses]]),"")</f>
        <v/>
      </c>
    </row>
    <row r="82" spans="7:10" x14ac:dyDescent="0.2">
      <c r="G82" t="str">
        <f t="array" ref="G82">IFERROR(IFERROR(INDEX($A$2:$A$300, MATCH(0, COUNTIF($G$1:G81,$A$2:$A$300 ), 0)), INDEX($D$2:$D$300, MATCH(0, COUNTIF($G$1:G81,$D$2:$D$300 ), 0))), "")</f>
        <v/>
      </c>
      <c r="H82">
        <f>IFERROR(VLOOKUP(WP_Calc[[#This Row],[Team]],$A:$B,2,0),0)</f>
        <v>0</v>
      </c>
      <c r="I82">
        <f>IFERROR(VLOOKUP(WP_Calc[[#This Row],[Team]],$D:$E,2,0),0)</f>
        <v>0</v>
      </c>
      <c r="J82" s="6" t="str">
        <f>IFERROR(WP_Calc[[#This Row],[Wins]]/(WP_Calc[[#This Row],[Wins]]+WP_Calc[[#This Row],[Losses]]),"")</f>
        <v/>
      </c>
    </row>
    <row r="83" spans="7:10" x14ac:dyDescent="0.2">
      <c r="G83" t="str">
        <f t="array" ref="G83">IFERROR(IFERROR(INDEX($A$2:$A$300, MATCH(0, COUNTIF($G$1:G82,$A$2:$A$300 ), 0)), INDEX($D$2:$D$300, MATCH(0, COUNTIF($G$1:G82,$D$2:$D$300 ), 0))), "")</f>
        <v/>
      </c>
      <c r="H83">
        <f>IFERROR(VLOOKUP(WP_Calc[[#This Row],[Team]],$A:$B,2,0),0)</f>
        <v>0</v>
      </c>
      <c r="I83">
        <f>IFERROR(VLOOKUP(WP_Calc[[#This Row],[Team]],$D:$E,2,0),0)</f>
        <v>0</v>
      </c>
      <c r="J83" s="6" t="str">
        <f>IFERROR(WP_Calc[[#This Row],[Wins]]/(WP_Calc[[#This Row],[Wins]]+WP_Calc[[#This Row],[Losses]]),"")</f>
        <v/>
      </c>
    </row>
    <row r="84" spans="7:10" x14ac:dyDescent="0.2">
      <c r="G84" t="str">
        <f t="array" ref="G84">IFERROR(IFERROR(INDEX($A$2:$A$300, MATCH(0, COUNTIF($G$1:G83,$A$2:$A$300 ), 0)), INDEX($D$2:$D$300, MATCH(0, COUNTIF($G$1:G83,$D$2:$D$300 ), 0))), "")</f>
        <v/>
      </c>
      <c r="H84">
        <f>IFERROR(VLOOKUP(WP_Calc[[#This Row],[Team]],$A:$B,2,0),0)</f>
        <v>0</v>
      </c>
      <c r="I84">
        <f>IFERROR(VLOOKUP(WP_Calc[[#This Row],[Team]],$D:$E,2,0),0)</f>
        <v>0</v>
      </c>
      <c r="J84" s="6" t="str">
        <f>IFERROR(WP_Calc[[#This Row],[Wins]]/(WP_Calc[[#This Row],[Wins]]+WP_Calc[[#This Row],[Losses]]),"")</f>
        <v/>
      </c>
    </row>
    <row r="85" spans="7:10" x14ac:dyDescent="0.2">
      <c r="G85" t="str">
        <f t="array" ref="G85">IFERROR(IFERROR(INDEX($A$2:$A$300, MATCH(0, COUNTIF($G$1:G84,$A$2:$A$300 ), 0)), INDEX($D$2:$D$300, MATCH(0, COUNTIF($G$1:G84,$D$2:$D$300 ), 0))), "")</f>
        <v/>
      </c>
      <c r="H85">
        <f>IFERROR(VLOOKUP(WP_Calc[[#This Row],[Team]],$A:$B,2,0),0)</f>
        <v>0</v>
      </c>
      <c r="I85">
        <f>IFERROR(VLOOKUP(WP_Calc[[#This Row],[Team]],$D:$E,2,0),0)</f>
        <v>0</v>
      </c>
      <c r="J85" s="6" t="str">
        <f>IFERROR(WP_Calc[[#This Row],[Wins]]/(WP_Calc[[#This Row],[Wins]]+WP_Calc[[#This Row],[Losses]]),"")</f>
        <v/>
      </c>
    </row>
    <row r="86" spans="7:10" x14ac:dyDescent="0.2">
      <c r="G86" t="str">
        <f t="array" ref="G86">IFERROR(IFERROR(INDEX($A$2:$A$300, MATCH(0, COUNTIF($G$1:G85,$A$2:$A$300 ), 0)), INDEX($D$2:$D$300, MATCH(0, COUNTIF($G$1:G85,$D$2:$D$300 ), 0))), "")</f>
        <v/>
      </c>
      <c r="H86">
        <f>IFERROR(VLOOKUP(WP_Calc[[#This Row],[Team]],$A:$B,2,0),0)</f>
        <v>0</v>
      </c>
      <c r="I86">
        <f>IFERROR(VLOOKUP(WP_Calc[[#This Row],[Team]],$D:$E,2,0),0)</f>
        <v>0</v>
      </c>
      <c r="J86" s="6" t="str">
        <f>IFERROR(WP_Calc[[#This Row],[Wins]]/(WP_Calc[[#This Row],[Wins]]+WP_Calc[[#This Row],[Losses]]),"")</f>
        <v/>
      </c>
    </row>
    <row r="87" spans="7:10" x14ac:dyDescent="0.2">
      <c r="G87" t="str">
        <f t="array" ref="G87">IFERROR(IFERROR(INDEX($A$2:$A$300, MATCH(0, COUNTIF($G$1:G86,$A$2:$A$300 ), 0)), INDEX($D$2:$D$300, MATCH(0, COUNTIF($G$1:G86,$D$2:$D$300 ), 0))), "")</f>
        <v/>
      </c>
      <c r="H87">
        <f>IFERROR(VLOOKUP(WP_Calc[[#This Row],[Team]],$A:$B,2,0),0)</f>
        <v>0</v>
      </c>
      <c r="I87">
        <f>IFERROR(VLOOKUP(WP_Calc[[#This Row],[Team]],$D:$E,2,0),0)</f>
        <v>0</v>
      </c>
      <c r="J87" s="6" t="str">
        <f>IFERROR(WP_Calc[[#This Row],[Wins]]/(WP_Calc[[#This Row],[Wins]]+WP_Calc[[#This Row],[Losses]]),"")</f>
        <v/>
      </c>
    </row>
    <row r="88" spans="7:10" x14ac:dyDescent="0.2">
      <c r="G88" t="str">
        <f t="array" ref="G88">IFERROR(IFERROR(INDEX($A$2:$A$300, MATCH(0, COUNTIF($G$1:G87,$A$2:$A$300 ), 0)), INDEX($D$2:$D$300, MATCH(0, COUNTIF($G$1:G87,$D$2:$D$300 ), 0))), "")</f>
        <v/>
      </c>
      <c r="H88">
        <f>IFERROR(VLOOKUP(WP_Calc[[#This Row],[Team]],$A:$B,2,0),0)</f>
        <v>0</v>
      </c>
      <c r="I88">
        <f>IFERROR(VLOOKUP(WP_Calc[[#This Row],[Team]],$D:$E,2,0),0)</f>
        <v>0</v>
      </c>
      <c r="J88" s="6" t="str">
        <f>IFERROR(WP_Calc[[#This Row],[Wins]]/(WP_Calc[[#This Row],[Wins]]+WP_Calc[[#This Row],[Losses]]),"")</f>
        <v/>
      </c>
    </row>
    <row r="89" spans="7:10" x14ac:dyDescent="0.2">
      <c r="G89" t="str">
        <f t="array" ref="G89">IFERROR(IFERROR(INDEX($A$2:$A$300, MATCH(0, COUNTIF($G$1:G88,$A$2:$A$300 ), 0)), INDEX($D$2:$D$300, MATCH(0, COUNTIF($G$1:G88,$D$2:$D$300 ), 0))), "")</f>
        <v/>
      </c>
      <c r="H89">
        <f>IFERROR(VLOOKUP(WP_Calc[[#This Row],[Team]],$A:$B,2,0),0)</f>
        <v>0</v>
      </c>
      <c r="I89">
        <f>IFERROR(VLOOKUP(WP_Calc[[#This Row],[Team]],$D:$E,2,0),0)</f>
        <v>0</v>
      </c>
      <c r="J89" s="6" t="str">
        <f>IFERROR(WP_Calc[[#This Row],[Wins]]/(WP_Calc[[#This Row],[Wins]]+WP_Calc[[#This Row],[Losses]]),"")</f>
        <v/>
      </c>
    </row>
    <row r="90" spans="7:10" x14ac:dyDescent="0.2">
      <c r="G90" t="str">
        <f t="array" ref="G90">IFERROR(IFERROR(INDEX($A$2:$A$300, MATCH(0, COUNTIF($G$1:G89,$A$2:$A$300 ), 0)), INDEX($D$2:$D$300, MATCH(0, COUNTIF($G$1:G89,$D$2:$D$300 ), 0))), "")</f>
        <v/>
      </c>
      <c r="H90">
        <f>IFERROR(VLOOKUP(WP_Calc[[#This Row],[Team]],$A:$B,2,0),0)</f>
        <v>0</v>
      </c>
      <c r="I90">
        <f>IFERROR(VLOOKUP(WP_Calc[[#This Row],[Team]],$D:$E,2,0),0)</f>
        <v>0</v>
      </c>
      <c r="J90" s="6" t="str">
        <f>IFERROR(WP_Calc[[#This Row],[Wins]]/(WP_Calc[[#This Row],[Wins]]+WP_Calc[[#This Row],[Losses]]),"")</f>
        <v/>
      </c>
    </row>
    <row r="91" spans="7:10" x14ac:dyDescent="0.2">
      <c r="G91" t="str">
        <f t="array" ref="G91">IFERROR(IFERROR(INDEX($A$2:$A$300, MATCH(0, COUNTIF($G$1:G90,$A$2:$A$300 ), 0)), INDEX($D$2:$D$300, MATCH(0, COUNTIF($G$1:G90,$D$2:$D$300 ), 0))), "")</f>
        <v/>
      </c>
      <c r="H91">
        <f>IFERROR(VLOOKUP(WP_Calc[[#This Row],[Team]],$A:$B,2,0),0)</f>
        <v>0</v>
      </c>
      <c r="I91">
        <f>IFERROR(VLOOKUP(WP_Calc[[#This Row],[Team]],$D:$E,2,0),0)</f>
        <v>0</v>
      </c>
      <c r="J91" s="6" t="str">
        <f>IFERROR(WP_Calc[[#This Row],[Wins]]/(WP_Calc[[#This Row],[Wins]]+WP_Calc[[#This Row],[Losses]]),"")</f>
        <v/>
      </c>
    </row>
    <row r="92" spans="7:10" x14ac:dyDescent="0.2">
      <c r="G92" t="str">
        <f t="array" ref="G92">IFERROR(IFERROR(INDEX($A$2:$A$300, MATCH(0, COUNTIF($G$1:G91,$A$2:$A$300 ), 0)), INDEX($D$2:$D$300, MATCH(0, COUNTIF($G$1:G91,$D$2:$D$300 ), 0))), "")</f>
        <v/>
      </c>
      <c r="H92">
        <f>IFERROR(VLOOKUP(WP_Calc[[#This Row],[Team]],$A:$B,2,0),0)</f>
        <v>0</v>
      </c>
      <c r="I92">
        <f>IFERROR(VLOOKUP(WP_Calc[[#This Row],[Team]],$D:$E,2,0),0)</f>
        <v>0</v>
      </c>
      <c r="J92" s="6" t="str">
        <f>IFERROR(WP_Calc[[#This Row],[Wins]]/(WP_Calc[[#This Row],[Wins]]+WP_Calc[[#This Row],[Losses]]),"")</f>
        <v/>
      </c>
    </row>
    <row r="93" spans="7:10" x14ac:dyDescent="0.2">
      <c r="G93" t="str">
        <f t="array" ref="G93">IFERROR(IFERROR(INDEX($A$2:$A$300, MATCH(0, COUNTIF($G$1:G92,$A$2:$A$300 ), 0)), INDEX($D$2:$D$300, MATCH(0, COUNTIF($G$1:G92,$D$2:$D$300 ), 0))), "")</f>
        <v/>
      </c>
      <c r="H93">
        <f>IFERROR(VLOOKUP(WP_Calc[[#This Row],[Team]],$A:$B,2,0),0)</f>
        <v>0</v>
      </c>
      <c r="I93">
        <f>IFERROR(VLOOKUP(WP_Calc[[#This Row],[Team]],$D:$E,2,0),0)</f>
        <v>0</v>
      </c>
      <c r="J93" s="6" t="str">
        <f>IFERROR(WP_Calc[[#This Row],[Wins]]/(WP_Calc[[#This Row],[Wins]]+WP_Calc[[#This Row],[Losses]]),"")</f>
        <v/>
      </c>
    </row>
    <row r="94" spans="7:10" x14ac:dyDescent="0.2">
      <c r="G94" t="str">
        <f t="array" ref="G94">IFERROR(IFERROR(INDEX($A$2:$A$300, MATCH(0, COUNTIF($G$1:G93,$A$2:$A$300 ), 0)), INDEX($D$2:$D$300, MATCH(0, COUNTIF($G$1:G93,$D$2:$D$300 ), 0))), "")</f>
        <v/>
      </c>
      <c r="H94">
        <f>IFERROR(VLOOKUP(WP_Calc[[#This Row],[Team]],$A:$B,2,0),0)</f>
        <v>0</v>
      </c>
      <c r="I94">
        <f>IFERROR(VLOOKUP(WP_Calc[[#This Row],[Team]],$D:$E,2,0),0)</f>
        <v>0</v>
      </c>
      <c r="J94" s="6" t="str">
        <f>IFERROR(WP_Calc[[#This Row],[Wins]]/(WP_Calc[[#This Row],[Wins]]+WP_Calc[[#This Row],[Losses]]),"")</f>
        <v/>
      </c>
    </row>
    <row r="95" spans="7:10" x14ac:dyDescent="0.2">
      <c r="G95" t="str">
        <f t="array" ref="G95">IFERROR(IFERROR(INDEX($A$2:$A$300, MATCH(0, COUNTIF($G$1:G94,$A$2:$A$300 ), 0)), INDEX($D$2:$D$300, MATCH(0, COUNTIF($G$1:G94,$D$2:$D$300 ), 0))), "")</f>
        <v/>
      </c>
      <c r="H95">
        <f>IFERROR(VLOOKUP(WP_Calc[[#This Row],[Team]],$A:$B,2,0),0)</f>
        <v>0</v>
      </c>
      <c r="I95">
        <f>IFERROR(VLOOKUP(WP_Calc[[#This Row],[Team]],$D:$E,2,0),0)</f>
        <v>0</v>
      </c>
      <c r="J95" s="6" t="str">
        <f>IFERROR(WP_Calc[[#This Row],[Wins]]/(WP_Calc[[#This Row],[Wins]]+WP_Calc[[#This Row],[Losses]]),"")</f>
        <v/>
      </c>
    </row>
    <row r="96" spans="7:10" x14ac:dyDescent="0.2">
      <c r="G96" t="str">
        <f t="array" ref="G96">IFERROR(IFERROR(INDEX($A$2:$A$300, MATCH(0, COUNTIF($G$1:G95,$A$2:$A$300 ), 0)), INDEX($D$2:$D$300, MATCH(0, COUNTIF($G$1:G95,$D$2:$D$300 ), 0))), "")</f>
        <v/>
      </c>
      <c r="H96">
        <f>IFERROR(VLOOKUP(WP_Calc[[#This Row],[Team]],$A:$B,2,0),0)</f>
        <v>0</v>
      </c>
      <c r="I96">
        <f>IFERROR(VLOOKUP(WP_Calc[[#This Row],[Team]],$D:$E,2,0),0)</f>
        <v>0</v>
      </c>
      <c r="J96" s="6" t="str">
        <f>IFERROR(WP_Calc[[#This Row],[Wins]]/(WP_Calc[[#This Row],[Wins]]+WP_Calc[[#This Row],[Losses]]),"")</f>
        <v/>
      </c>
    </row>
    <row r="97" spans="7:10" x14ac:dyDescent="0.2">
      <c r="G97" t="str">
        <f t="array" ref="G97">IFERROR(IFERROR(INDEX($A$2:$A$300, MATCH(0, COUNTIF($G$1:G96,$A$2:$A$300 ), 0)), INDEX($D$2:$D$300, MATCH(0, COUNTIF($G$1:G96,$D$2:$D$300 ), 0))), "")</f>
        <v/>
      </c>
      <c r="H97">
        <f>IFERROR(VLOOKUP(WP_Calc[[#This Row],[Team]],$A:$B,2,0),0)</f>
        <v>0</v>
      </c>
      <c r="I97">
        <f>IFERROR(VLOOKUP(WP_Calc[[#This Row],[Team]],$D:$E,2,0),0)</f>
        <v>0</v>
      </c>
      <c r="J97" s="6" t="str">
        <f>IFERROR(WP_Calc[[#This Row],[Wins]]/(WP_Calc[[#This Row],[Wins]]+WP_Calc[[#This Row],[Losses]]),"")</f>
        <v/>
      </c>
    </row>
    <row r="98" spans="7:10" x14ac:dyDescent="0.2">
      <c r="G98" t="str">
        <f t="array" ref="G98">IFERROR(IFERROR(INDEX($A$2:$A$300, MATCH(0, COUNTIF($G$1:G97,$A$2:$A$300 ), 0)), INDEX($D$2:$D$300, MATCH(0, COUNTIF($G$1:G97,$D$2:$D$300 ), 0))), "")</f>
        <v/>
      </c>
      <c r="H98">
        <f>IFERROR(VLOOKUP(WP_Calc[[#This Row],[Team]],$A:$B,2,0),0)</f>
        <v>0</v>
      </c>
      <c r="I98">
        <f>IFERROR(VLOOKUP(WP_Calc[[#This Row],[Team]],$D:$E,2,0),0)</f>
        <v>0</v>
      </c>
      <c r="J98" s="6" t="str">
        <f>IFERROR(WP_Calc[[#This Row],[Wins]]/(WP_Calc[[#This Row],[Wins]]+WP_Calc[[#This Row],[Losses]]),"")</f>
        <v/>
      </c>
    </row>
    <row r="99" spans="7:10" x14ac:dyDescent="0.2">
      <c r="G99" t="str">
        <f t="array" ref="G99">IFERROR(IFERROR(INDEX($A$2:$A$300, MATCH(0, COUNTIF($G$1:G98,$A$2:$A$300 ), 0)), INDEX($D$2:$D$300, MATCH(0, COUNTIF($G$1:G98,$D$2:$D$300 ), 0))), "")</f>
        <v/>
      </c>
      <c r="H99">
        <f>IFERROR(VLOOKUP(WP_Calc[[#This Row],[Team]],$A:$B,2,0),0)</f>
        <v>0</v>
      </c>
      <c r="I99">
        <f>IFERROR(VLOOKUP(WP_Calc[[#This Row],[Team]],$D:$E,2,0),0)</f>
        <v>0</v>
      </c>
      <c r="J99" s="6" t="str">
        <f>IFERROR(WP_Calc[[#This Row],[Wins]]/(WP_Calc[[#This Row],[Wins]]+WP_Calc[[#This Row],[Losses]]),"")</f>
        <v/>
      </c>
    </row>
    <row r="100" spans="7:10" x14ac:dyDescent="0.2">
      <c r="G100" t="str">
        <f t="array" ref="G100">IFERROR(IFERROR(INDEX($A$2:$A$300, MATCH(0, COUNTIF($G$1:G99,$A$2:$A$300 ), 0)), INDEX($D$2:$D$300, MATCH(0, COUNTIF($G$1:G99,$D$2:$D$300 ), 0))), "")</f>
        <v/>
      </c>
      <c r="H100">
        <f>IFERROR(VLOOKUP(WP_Calc[[#This Row],[Team]],$A:$B,2,0),0)</f>
        <v>0</v>
      </c>
      <c r="I100">
        <f>IFERROR(VLOOKUP(WP_Calc[[#This Row],[Team]],$D:$E,2,0),0)</f>
        <v>0</v>
      </c>
      <c r="J100" s="6" t="str">
        <f>IFERROR(WP_Calc[[#This Row],[Wins]]/(WP_Calc[[#This Row],[Wins]]+WP_Calc[[#This Row],[Losses]]),"")</f>
        <v/>
      </c>
    </row>
    <row r="101" spans="7:10" x14ac:dyDescent="0.2">
      <c r="G101" t="str">
        <f t="array" ref="G101">IFERROR(IFERROR(INDEX($A$2:$A$300, MATCH(0, COUNTIF($G$1:G100,$A$2:$A$300 ), 0)), INDEX($D$2:$D$300, MATCH(0, COUNTIF($G$1:G100,$D$2:$D$300 ), 0))), "")</f>
        <v/>
      </c>
      <c r="H101">
        <f>IFERROR(VLOOKUP(WP_Calc[[#This Row],[Team]],$A:$B,2,0),0)</f>
        <v>0</v>
      </c>
      <c r="I101">
        <f>IFERROR(VLOOKUP(WP_Calc[[#This Row],[Team]],$D:$E,2,0),0)</f>
        <v>0</v>
      </c>
      <c r="J101" s="6" t="str">
        <f>IFERROR(WP_Calc[[#This Row],[Wins]]/(WP_Calc[[#This Row],[Wins]]+WP_Calc[[#This Row],[Losses]]),"")</f>
        <v/>
      </c>
    </row>
    <row r="102" spans="7:10" x14ac:dyDescent="0.2">
      <c r="G102" t="str">
        <f t="array" ref="G102">IFERROR(IFERROR(INDEX($A$2:$A$300, MATCH(0, COUNTIF($G$1:G101,$A$2:$A$300 ), 0)), INDEX($D$2:$D$300, MATCH(0, COUNTIF($G$1:G101,$D$2:$D$300 ), 0))), "")</f>
        <v/>
      </c>
      <c r="H102">
        <f>IFERROR(VLOOKUP(WP_Calc[[#This Row],[Team]],$A:$B,2,0),0)</f>
        <v>0</v>
      </c>
      <c r="I102">
        <f>IFERROR(VLOOKUP(WP_Calc[[#This Row],[Team]],$D:$E,2,0),0)</f>
        <v>0</v>
      </c>
      <c r="J102" s="6" t="str">
        <f>IFERROR(WP_Calc[[#This Row],[Wins]]/(WP_Calc[[#This Row],[Wins]]+WP_Calc[[#This Row],[Losses]]),"")</f>
        <v/>
      </c>
    </row>
    <row r="103" spans="7:10" x14ac:dyDescent="0.2">
      <c r="G103" t="str">
        <f t="array" ref="G103">IFERROR(IFERROR(INDEX($A$2:$A$300, MATCH(0, COUNTIF($G$1:G102,$A$2:$A$300 ), 0)), INDEX($D$2:$D$300, MATCH(0, COUNTIF($G$1:G102,$D$2:$D$300 ), 0))), "")</f>
        <v/>
      </c>
      <c r="H103">
        <f>IFERROR(VLOOKUP(WP_Calc[[#This Row],[Team]],$A:$B,2,0),0)</f>
        <v>0</v>
      </c>
      <c r="I103">
        <f>IFERROR(VLOOKUP(WP_Calc[[#This Row],[Team]],$D:$E,2,0),0)</f>
        <v>0</v>
      </c>
      <c r="J103" s="6" t="str">
        <f>IFERROR(WP_Calc[[#This Row],[Wins]]/(WP_Calc[[#This Row],[Wins]]+WP_Calc[[#This Row],[Losses]]),"")</f>
        <v/>
      </c>
    </row>
    <row r="104" spans="7:10" x14ac:dyDescent="0.2">
      <c r="G104" t="str">
        <f t="array" ref="G104">IFERROR(IFERROR(INDEX($A$2:$A$300, MATCH(0, COUNTIF($G$1:G103,$A$2:$A$300 ), 0)), INDEX($D$2:$D$300, MATCH(0, COUNTIF($G$1:G103,$D$2:$D$300 ), 0))), "")</f>
        <v/>
      </c>
      <c r="H104">
        <f>IFERROR(VLOOKUP(WP_Calc[[#This Row],[Team]],$A:$B,2,0),0)</f>
        <v>0</v>
      </c>
      <c r="I104">
        <f>IFERROR(VLOOKUP(WP_Calc[[#This Row],[Team]],$D:$E,2,0),0)</f>
        <v>0</v>
      </c>
      <c r="J104" s="6" t="str">
        <f>IFERROR(WP_Calc[[#This Row],[Wins]]/(WP_Calc[[#This Row],[Wins]]+WP_Calc[[#This Row],[Losses]]),"")</f>
        <v/>
      </c>
    </row>
    <row r="105" spans="7:10" x14ac:dyDescent="0.2">
      <c r="G105" t="str">
        <f t="array" ref="G105">IFERROR(IFERROR(INDEX($A$2:$A$300, MATCH(0, COUNTIF($G$1:G104,$A$2:$A$300 ), 0)), INDEX($D$2:$D$300, MATCH(0, COUNTIF($G$1:G104,$D$2:$D$300 ), 0))), "")</f>
        <v/>
      </c>
      <c r="H105">
        <f>IFERROR(VLOOKUP(WP_Calc[[#This Row],[Team]],$A:$B,2,0),0)</f>
        <v>0</v>
      </c>
      <c r="I105">
        <f>IFERROR(VLOOKUP(WP_Calc[[#This Row],[Team]],$D:$E,2,0),0)</f>
        <v>0</v>
      </c>
      <c r="J105" s="6" t="str">
        <f>IFERROR(WP_Calc[[#This Row],[Wins]]/(WP_Calc[[#This Row],[Wins]]+WP_Calc[[#This Row],[Losses]]),"")</f>
        <v/>
      </c>
    </row>
    <row r="106" spans="7:10" x14ac:dyDescent="0.2">
      <c r="G106" t="str">
        <f t="array" ref="G106">IFERROR(IFERROR(INDEX($A$2:$A$300, MATCH(0, COUNTIF($G$1:G105,$A$2:$A$300 ), 0)), INDEX($D$2:$D$300, MATCH(0, COUNTIF($G$1:G105,$D$2:$D$300 ), 0))), "")</f>
        <v/>
      </c>
      <c r="H106">
        <f>IFERROR(VLOOKUP(WP_Calc[[#This Row],[Team]],$A:$B,2,0),0)</f>
        <v>0</v>
      </c>
      <c r="I106">
        <f>IFERROR(VLOOKUP(WP_Calc[[#This Row],[Team]],$D:$E,2,0),0)</f>
        <v>0</v>
      </c>
      <c r="J106" s="6" t="str">
        <f>IFERROR(WP_Calc[[#This Row],[Wins]]/(WP_Calc[[#This Row],[Wins]]+WP_Calc[[#This Row],[Losses]]),"")</f>
        <v/>
      </c>
    </row>
    <row r="107" spans="7:10" x14ac:dyDescent="0.2">
      <c r="G107" t="str">
        <f t="array" ref="G107">IFERROR(IFERROR(INDEX($A$2:$A$300, MATCH(0, COUNTIF($G$1:G106,$A$2:$A$300 ), 0)), INDEX($D$2:$D$300, MATCH(0, COUNTIF($G$1:G106,$D$2:$D$300 ), 0))), "")</f>
        <v/>
      </c>
      <c r="H107">
        <f>IFERROR(VLOOKUP(WP_Calc[[#This Row],[Team]],$A:$B,2,0),0)</f>
        <v>0</v>
      </c>
      <c r="I107">
        <f>IFERROR(VLOOKUP(WP_Calc[[#This Row],[Team]],$D:$E,2,0),0)</f>
        <v>0</v>
      </c>
      <c r="J107" s="6" t="str">
        <f>IFERROR(WP_Calc[[#This Row],[Wins]]/(WP_Calc[[#This Row],[Wins]]+WP_Calc[[#This Row],[Losses]]),"")</f>
        <v/>
      </c>
    </row>
    <row r="108" spans="7:10" x14ac:dyDescent="0.2">
      <c r="G108" t="str">
        <f t="array" ref="G108">IFERROR(IFERROR(INDEX($A$2:$A$300, MATCH(0, COUNTIF($G$1:G107,$A$2:$A$300 ), 0)), INDEX($D$2:$D$300, MATCH(0, COUNTIF($G$1:G107,$D$2:$D$300 ), 0))), "")</f>
        <v/>
      </c>
      <c r="H108">
        <f>IFERROR(VLOOKUP(WP_Calc[[#This Row],[Team]],$A:$B,2,0),0)</f>
        <v>0</v>
      </c>
      <c r="I108">
        <f>IFERROR(VLOOKUP(WP_Calc[[#This Row],[Team]],$D:$E,2,0),0)</f>
        <v>0</v>
      </c>
      <c r="J108" s="6" t="str">
        <f>IFERROR(WP_Calc[[#This Row],[Wins]]/(WP_Calc[[#This Row],[Wins]]+WP_Calc[[#This Row],[Losses]]),"")</f>
        <v/>
      </c>
    </row>
    <row r="109" spans="7:10" x14ac:dyDescent="0.2">
      <c r="G109" t="str">
        <f t="array" ref="G109">IFERROR(IFERROR(INDEX($A$2:$A$300, MATCH(0, COUNTIF($G$1:G108,$A$2:$A$300 ), 0)), INDEX($D$2:$D$300, MATCH(0, COUNTIF($G$1:G108,$D$2:$D$300 ), 0))), "")</f>
        <v/>
      </c>
      <c r="H109">
        <f>IFERROR(VLOOKUP(WP_Calc[[#This Row],[Team]],$A:$B,2,0),0)</f>
        <v>0</v>
      </c>
      <c r="I109">
        <f>IFERROR(VLOOKUP(WP_Calc[[#This Row],[Team]],$D:$E,2,0),0)</f>
        <v>0</v>
      </c>
      <c r="J109" s="6" t="str">
        <f>IFERROR(WP_Calc[[#This Row],[Wins]]/(WP_Calc[[#This Row],[Wins]]+WP_Calc[[#This Row],[Losses]]),"")</f>
        <v/>
      </c>
    </row>
    <row r="110" spans="7:10" x14ac:dyDescent="0.2">
      <c r="G110" t="str">
        <f t="array" ref="G110">IFERROR(IFERROR(INDEX($A$2:$A$300, MATCH(0, COUNTIF($G$1:G109,$A$2:$A$300 ), 0)), INDEX($D$2:$D$300, MATCH(0, COUNTIF($G$1:G109,$D$2:$D$300 ), 0))), "")</f>
        <v/>
      </c>
      <c r="H110">
        <f>IFERROR(VLOOKUP(WP_Calc[[#This Row],[Team]],$A:$B,2,0),0)</f>
        <v>0</v>
      </c>
      <c r="I110">
        <f>IFERROR(VLOOKUP(WP_Calc[[#This Row],[Team]],$D:$E,2,0),0)</f>
        <v>0</v>
      </c>
      <c r="J110" s="6" t="str">
        <f>IFERROR(WP_Calc[[#This Row],[Wins]]/(WP_Calc[[#This Row],[Wins]]+WP_Calc[[#This Row],[Losses]]),"")</f>
        <v/>
      </c>
    </row>
    <row r="111" spans="7:10" x14ac:dyDescent="0.2">
      <c r="G111" t="str">
        <f t="array" ref="G111">IFERROR(IFERROR(INDEX($A$2:$A$300, MATCH(0, COUNTIF($G$1:G110,$A$2:$A$300 ), 0)), INDEX($D$2:$D$300, MATCH(0, COUNTIF($G$1:G110,$D$2:$D$300 ), 0))), "")</f>
        <v/>
      </c>
      <c r="H111">
        <f>IFERROR(VLOOKUP(WP_Calc[[#This Row],[Team]],$A:$B,2,0),0)</f>
        <v>0</v>
      </c>
      <c r="I111">
        <f>IFERROR(VLOOKUP(WP_Calc[[#This Row],[Team]],$D:$E,2,0),0)</f>
        <v>0</v>
      </c>
      <c r="J111" s="6" t="str">
        <f>IFERROR(WP_Calc[[#This Row],[Wins]]/(WP_Calc[[#This Row],[Wins]]+WP_Calc[[#This Row],[Losses]]),"")</f>
        <v/>
      </c>
    </row>
    <row r="112" spans="7:10" x14ac:dyDescent="0.2">
      <c r="G112" t="str">
        <f t="array" ref="G112">IFERROR(IFERROR(INDEX($A$2:$A$300, MATCH(0, COUNTIF($G$1:G111,$A$2:$A$300 ), 0)), INDEX($D$2:$D$300, MATCH(0, COUNTIF($G$1:G111,$D$2:$D$300 ), 0))), "")</f>
        <v/>
      </c>
      <c r="H112">
        <f>IFERROR(VLOOKUP(WP_Calc[[#This Row],[Team]],$A:$B,2,0),0)</f>
        <v>0</v>
      </c>
      <c r="I112">
        <f>IFERROR(VLOOKUP(WP_Calc[[#This Row],[Team]],$D:$E,2,0),0)</f>
        <v>0</v>
      </c>
      <c r="J112" s="6" t="str">
        <f>IFERROR(WP_Calc[[#This Row],[Wins]]/(WP_Calc[[#This Row],[Wins]]+WP_Calc[[#This Row],[Losses]]),"")</f>
        <v/>
      </c>
    </row>
    <row r="113" spans="7:10" x14ac:dyDescent="0.2">
      <c r="G113" t="str">
        <f t="array" ref="G113">IFERROR(IFERROR(INDEX($A$2:$A$300, MATCH(0, COUNTIF($G$1:G112,$A$2:$A$300 ), 0)), INDEX($D$2:$D$300, MATCH(0, COUNTIF($G$1:G112,$D$2:$D$300 ), 0))), "")</f>
        <v/>
      </c>
      <c r="H113">
        <f>IFERROR(VLOOKUP(WP_Calc[[#This Row],[Team]],$A:$B,2,0),0)</f>
        <v>0</v>
      </c>
      <c r="I113">
        <f>IFERROR(VLOOKUP(WP_Calc[[#This Row],[Team]],$D:$E,2,0),0)</f>
        <v>0</v>
      </c>
      <c r="J113" s="6" t="str">
        <f>IFERROR(WP_Calc[[#This Row],[Wins]]/(WP_Calc[[#This Row],[Wins]]+WP_Calc[[#This Row],[Losses]]),"")</f>
        <v/>
      </c>
    </row>
    <row r="114" spans="7:10" x14ac:dyDescent="0.2">
      <c r="G114" t="str">
        <f t="array" ref="G114">IFERROR(IFERROR(INDEX($A$2:$A$300, MATCH(0, COUNTIF($G$1:G113,$A$2:$A$300 ), 0)), INDEX($D$2:$D$300, MATCH(0, COUNTIF($G$1:G113,$D$2:$D$300 ), 0))), "")</f>
        <v/>
      </c>
      <c r="H114">
        <f>IFERROR(VLOOKUP(WP_Calc[[#This Row],[Team]],$A:$B,2,0),0)</f>
        <v>0</v>
      </c>
      <c r="I114">
        <f>IFERROR(VLOOKUP(WP_Calc[[#This Row],[Team]],$D:$E,2,0),0)</f>
        <v>0</v>
      </c>
      <c r="J114" s="6" t="str">
        <f>IFERROR(WP_Calc[[#This Row],[Wins]]/(WP_Calc[[#This Row],[Wins]]+WP_Calc[[#This Row],[Losses]]),"")</f>
        <v/>
      </c>
    </row>
    <row r="115" spans="7:10" x14ac:dyDescent="0.2">
      <c r="G115" t="str">
        <f t="array" ref="G115">IFERROR(IFERROR(INDEX($A$2:$A$300, MATCH(0, COUNTIF($G$1:G114,$A$2:$A$300 ), 0)), INDEX($D$2:$D$300, MATCH(0, COUNTIF($G$1:G114,$D$2:$D$300 ), 0))), "")</f>
        <v/>
      </c>
      <c r="H115">
        <f>IFERROR(VLOOKUP(WP_Calc[[#This Row],[Team]],$A:$B,2,0),0)</f>
        <v>0</v>
      </c>
      <c r="I115">
        <f>IFERROR(VLOOKUP(WP_Calc[[#This Row],[Team]],$D:$E,2,0),0)</f>
        <v>0</v>
      </c>
      <c r="J115" s="6" t="str">
        <f>IFERROR(WP_Calc[[#This Row],[Wins]]/(WP_Calc[[#This Row],[Wins]]+WP_Calc[[#This Row],[Losses]]),"")</f>
        <v/>
      </c>
    </row>
    <row r="116" spans="7:10" x14ac:dyDescent="0.2">
      <c r="G116" t="str">
        <f t="array" ref="G116">IFERROR(IFERROR(INDEX($A$2:$A$300, MATCH(0, COUNTIF($G$1:G115,$A$2:$A$300 ), 0)), INDEX($D$2:$D$300, MATCH(0, COUNTIF($G$1:G115,$D$2:$D$300 ), 0))), "")</f>
        <v/>
      </c>
      <c r="H116">
        <f>IFERROR(VLOOKUP(WP_Calc[[#This Row],[Team]],$A:$B,2,0),0)</f>
        <v>0</v>
      </c>
      <c r="I116">
        <f>IFERROR(VLOOKUP(WP_Calc[[#This Row],[Team]],$D:$E,2,0),0)</f>
        <v>0</v>
      </c>
      <c r="J116" s="6" t="str">
        <f>IFERROR(WP_Calc[[#This Row],[Wins]]/(WP_Calc[[#This Row],[Wins]]+WP_Calc[[#This Row],[Losses]]),"")</f>
        <v/>
      </c>
    </row>
    <row r="117" spans="7:10" x14ac:dyDescent="0.2">
      <c r="G117" t="str">
        <f t="array" ref="G117">IFERROR(IFERROR(INDEX($A$2:$A$300, MATCH(0, COUNTIF($G$1:G116,$A$2:$A$300 ), 0)), INDEX($D$2:$D$300, MATCH(0, COUNTIF($G$1:G116,$D$2:$D$300 ), 0))), "")</f>
        <v/>
      </c>
      <c r="H117">
        <f>IFERROR(VLOOKUP(WP_Calc[[#This Row],[Team]],$A:$B,2,0),0)</f>
        <v>0</v>
      </c>
      <c r="I117">
        <f>IFERROR(VLOOKUP(WP_Calc[[#This Row],[Team]],$D:$E,2,0),0)</f>
        <v>0</v>
      </c>
      <c r="J117" s="6" t="str">
        <f>IFERROR(WP_Calc[[#This Row],[Wins]]/(WP_Calc[[#This Row],[Wins]]+WP_Calc[[#This Row],[Losses]]),"")</f>
        <v/>
      </c>
    </row>
    <row r="118" spans="7:10" x14ac:dyDescent="0.2">
      <c r="G118" t="str">
        <f t="array" ref="G118">IFERROR(IFERROR(INDEX($A$2:$A$300, MATCH(0, COUNTIF($G$1:G117,$A$2:$A$300 ), 0)), INDEX($D$2:$D$300, MATCH(0, COUNTIF($G$1:G117,$D$2:$D$300 ), 0))), "")</f>
        <v/>
      </c>
      <c r="H118">
        <f>IFERROR(VLOOKUP(WP_Calc[[#This Row],[Team]],$A:$B,2,0),0)</f>
        <v>0</v>
      </c>
      <c r="I118">
        <f>IFERROR(VLOOKUP(WP_Calc[[#This Row],[Team]],$D:$E,2,0),0)</f>
        <v>0</v>
      </c>
      <c r="J118" s="6" t="str">
        <f>IFERROR(WP_Calc[[#This Row],[Wins]]/(WP_Calc[[#This Row],[Wins]]+WP_Calc[[#This Row],[Losses]]),"")</f>
        <v/>
      </c>
    </row>
    <row r="119" spans="7:10" x14ac:dyDescent="0.2">
      <c r="G119" t="str">
        <f t="array" ref="G119">IFERROR(IFERROR(INDEX($A$2:$A$300, MATCH(0, COUNTIF($G$1:G118,$A$2:$A$300 ), 0)), INDEX($D$2:$D$300, MATCH(0, COUNTIF($G$1:G118,$D$2:$D$300 ), 0))), "")</f>
        <v/>
      </c>
      <c r="H119">
        <f>IFERROR(VLOOKUP(WP_Calc[[#This Row],[Team]],$A:$B,2,0),0)</f>
        <v>0</v>
      </c>
      <c r="I119">
        <f>IFERROR(VLOOKUP(WP_Calc[[#This Row],[Team]],$D:$E,2,0),0)</f>
        <v>0</v>
      </c>
      <c r="J119" s="6" t="str">
        <f>IFERROR(WP_Calc[[#This Row],[Wins]]/(WP_Calc[[#This Row],[Wins]]+WP_Calc[[#This Row],[Losses]]),"")</f>
        <v/>
      </c>
    </row>
    <row r="120" spans="7:10" x14ac:dyDescent="0.2">
      <c r="G120" t="str">
        <f t="array" ref="G120">IFERROR(IFERROR(INDEX($A$2:$A$300, MATCH(0, COUNTIF($G$1:G119,$A$2:$A$300 ), 0)), INDEX($D$2:$D$300, MATCH(0, COUNTIF($G$1:G119,$D$2:$D$300 ), 0))), "")</f>
        <v/>
      </c>
      <c r="H120">
        <f>IFERROR(VLOOKUP(WP_Calc[[#This Row],[Team]],$A:$B,2,0),0)</f>
        <v>0</v>
      </c>
      <c r="I120">
        <f>IFERROR(VLOOKUP(WP_Calc[[#This Row],[Team]],$D:$E,2,0),0)</f>
        <v>0</v>
      </c>
      <c r="J120" s="6" t="str">
        <f>IFERROR(WP_Calc[[#This Row],[Wins]]/(WP_Calc[[#This Row],[Wins]]+WP_Calc[[#This Row],[Losses]]),"")</f>
        <v/>
      </c>
    </row>
    <row r="121" spans="7:10" x14ac:dyDescent="0.2">
      <c r="G121" t="str">
        <f t="array" ref="G121">IFERROR(IFERROR(INDEX($A$2:$A$300, MATCH(0, COUNTIF($G$1:G120,$A$2:$A$300 ), 0)), INDEX($D$2:$D$300, MATCH(0, COUNTIF($G$1:G120,$D$2:$D$300 ), 0))), "")</f>
        <v/>
      </c>
      <c r="H121">
        <f>IFERROR(VLOOKUP(WP_Calc[[#This Row],[Team]],$A:$B,2,0),0)</f>
        <v>0</v>
      </c>
      <c r="I121">
        <f>IFERROR(VLOOKUP(WP_Calc[[#This Row],[Team]],$D:$E,2,0),0)</f>
        <v>0</v>
      </c>
      <c r="J121" s="6" t="str">
        <f>IFERROR(WP_Calc[[#This Row],[Wins]]/(WP_Calc[[#This Row],[Wins]]+WP_Calc[[#This Row],[Losses]]),"")</f>
        <v/>
      </c>
    </row>
    <row r="122" spans="7:10" x14ac:dyDescent="0.2">
      <c r="G122" t="str">
        <f t="array" ref="G122">IFERROR(IFERROR(INDEX($A$2:$A$300, MATCH(0, COUNTIF($G$1:G121,$A$2:$A$300 ), 0)), INDEX($D$2:$D$300, MATCH(0, COUNTIF($G$1:G121,$D$2:$D$300 ), 0))), "")</f>
        <v/>
      </c>
      <c r="H122">
        <f>IFERROR(VLOOKUP(WP_Calc[[#This Row],[Team]],$A:$B,2,0),0)</f>
        <v>0</v>
      </c>
      <c r="I122">
        <f>IFERROR(VLOOKUP(WP_Calc[[#This Row],[Team]],$D:$E,2,0),0)</f>
        <v>0</v>
      </c>
      <c r="J122" s="6" t="str">
        <f>IFERROR(WP_Calc[[#This Row],[Wins]]/(WP_Calc[[#This Row],[Wins]]+WP_Calc[[#This Row],[Losses]]),"")</f>
        <v/>
      </c>
    </row>
    <row r="123" spans="7:10" x14ac:dyDescent="0.2">
      <c r="G123" t="str">
        <f t="array" ref="G123">IFERROR(IFERROR(INDEX($A$2:$A$300, MATCH(0, COUNTIF($G$1:G122,$A$2:$A$300 ), 0)), INDEX($D$2:$D$300, MATCH(0, COUNTIF($G$1:G122,$D$2:$D$300 ), 0))), "")</f>
        <v/>
      </c>
      <c r="H123">
        <f>IFERROR(VLOOKUP(WP_Calc[[#This Row],[Team]],$A:$B,2,0),0)</f>
        <v>0</v>
      </c>
      <c r="I123">
        <f>IFERROR(VLOOKUP(WP_Calc[[#This Row],[Team]],$D:$E,2,0),0)</f>
        <v>0</v>
      </c>
      <c r="J123" s="6" t="str">
        <f>IFERROR(WP_Calc[[#This Row],[Wins]]/(WP_Calc[[#This Row],[Wins]]+WP_Calc[[#This Row],[Losses]]),"")</f>
        <v/>
      </c>
    </row>
    <row r="124" spans="7:10" x14ac:dyDescent="0.2">
      <c r="G124" t="str">
        <f t="array" ref="G124">IFERROR(IFERROR(INDEX($A$2:$A$300, MATCH(0, COUNTIF($G$1:G123,$A$2:$A$300 ), 0)), INDEX($D$2:$D$300, MATCH(0, COUNTIF($G$1:G123,$D$2:$D$300 ), 0))), "")</f>
        <v/>
      </c>
      <c r="H124">
        <f>IFERROR(VLOOKUP(WP_Calc[[#This Row],[Team]],$A:$B,2,0),0)</f>
        <v>0</v>
      </c>
      <c r="I124">
        <f>IFERROR(VLOOKUP(WP_Calc[[#This Row],[Team]],$D:$E,2,0),0)</f>
        <v>0</v>
      </c>
      <c r="J124" s="6" t="str">
        <f>IFERROR(WP_Calc[[#This Row],[Wins]]/(WP_Calc[[#This Row],[Wins]]+WP_Calc[[#This Row],[Losses]]),"")</f>
        <v/>
      </c>
    </row>
    <row r="125" spans="7:10" x14ac:dyDescent="0.2">
      <c r="G125" t="str">
        <f t="array" ref="G125">IFERROR(IFERROR(INDEX($A$2:$A$300, MATCH(0, COUNTIF($G$1:G124,$A$2:$A$300 ), 0)), INDEX($D$2:$D$300, MATCH(0, COUNTIF($G$1:G124,$D$2:$D$300 ), 0))), "")</f>
        <v/>
      </c>
      <c r="H125">
        <f>IFERROR(VLOOKUP(WP_Calc[[#This Row],[Team]],$A:$B,2,0),0)</f>
        <v>0</v>
      </c>
      <c r="I125">
        <f>IFERROR(VLOOKUP(WP_Calc[[#This Row],[Team]],$D:$E,2,0),0)</f>
        <v>0</v>
      </c>
      <c r="J125" s="6" t="str">
        <f>IFERROR(WP_Calc[[#This Row],[Wins]]/(WP_Calc[[#This Row],[Wins]]+WP_Calc[[#This Row],[Losses]]),"")</f>
        <v/>
      </c>
    </row>
    <row r="126" spans="7:10" x14ac:dyDescent="0.2">
      <c r="G126" t="str">
        <f t="array" ref="G126">IFERROR(IFERROR(INDEX($A$2:$A$300, MATCH(0, COUNTIF($G$1:G125,$A$2:$A$300 ), 0)), INDEX($D$2:$D$300, MATCH(0, COUNTIF($G$1:G125,$D$2:$D$300 ), 0))), "")</f>
        <v/>
      </c>
      <c r="H126">
        <f>IFERROR(VLOOKUP(WP_Calc[[#This Row],[Team]],$A:$B,2,0),0)</f>
        <v>0</v>
      </c>
      <c r="I126">
        <f>IFERROR(VLOOKUP(WP_Calc[[#This Row],[Team]],$D:$E,2,0),0)</f>
        <v>0</v>
      </c>
      <c r="J126" s="6" t="str">
        <f>IFERROR(WP_Calc[[#This Row],[Wins]]/(WP_Calc[[#This Row],[Wins]]+WP_Calc[[#This Row],[Losses]]),"")</f>
        <v/>
      </c>
    </row>
    <row r="127" spans="7:10" x14ac:dyDescent="0.2">
      <c r="G127" t="str">
        <f t="array" ref="G127">IFERROR(IFERROR(INDEX($A$2:$A$300, MATCH(0, COUNTIF($G$1:G126,$A$2:$A$300 ), 0)), INDEX($D$2:$D$300, MATCH(0, COUNTIF($G$1:G126,$D$2:$D$300 ), 0))), "")</f>
        <v/>
      </c>
      <c r="H127">
        <f>IFERROR(VLOOKUP(WP_Calc[[#This Row],[Team]],$A:$B,2,0),0)</f>
        <v>0</v>
      </c>
      <c r="I127">
        <f>IFERROR(VLOOKUP(WP_Calc[[#This Row],[Team]],$D:$E,2,0),0)</f>
        <v>0</v>
      </c>
      <c r="J127" s="6" t="str">
        <f>IFERROR(WP_Calc[[#This Row],[Wins]]/(WP_Calc[[#This Row],[Wins]]+WP_Calc[[#This Row],[Losses]]),"")</f>
        <v/>
      </c>
    </row>
    <row r="128" spans="7:10" x14ac:dyDescent="0.2">
      <c r="G128" t="str">
        <f t="array" ref="G128">IFERROR(IFERROR(INDEX($A$2:$A$300, MATCH(0, COUNTIF($G$1:G127,$A$2:$A$300 ), 0)), INDEX($D$2:$D$300, MATCH(0, COUNTIF($G$1:G127,$D$2:$D$300 ), 0))), "")</f>
        <v/>
      </c>
      <c r="H128">
        <f>IFERROR(VLOOKUP(WP_Calc[[#This Row],[Team]],$A:$B,2,0),0)</f>
        <v>0</v>
      </c>
      <c r="I128">
        <f>IFERROR(VLOOKUP(WP_Calc[[#This Row],[Team]],$D:$E,2,0),0)</f>
        <v>0</v>
      </c>
      <c r="J128" s="6" t="str">
        <f>IFERROR(WP_Calc[[#This Row],[Wins]]/(WP_Calc[[#This Row],[Wins]]+WP_Calc[[#This Row],[Losses]]),"")</f>
        <v/>
      </c>
    </row>
    <row r="129" spans="7:10" x14ac:dyDescent="0.2">
      <c r="G129" t="str">
        <f t="array" ref="G129">IFERROR(IFERROR(INDEX($A$2:$A$300, MATCH(0, COUNTIF($G$1:G128,$A$2:$A$300 ), 0)), INDEX($D$2:$D$300, MATCH(0, COUNTIF($G$1:G128,$D$2:$D$300 ), 0))), "")</f>
        <v/>
      </c>
      <c r="H129">
        <f>IFERROR(VLOOKUP(WP_Calc[[#This Row],[Team]],$A:$B,2,0),0)</f>
        <v>0</v>
      </c>
      <c r="I129">
        <f>IFERROR(VLOOKUP(WP_Calc[[#This Row],[Team]],$D:$E,2,0),0)</f>
        <v>0</v>
      </c>
      <c r="J129" s="6" t="str">
        <f>IFERROR(WP_Calc[[#This Row],[Wins]]/(WP_Calc[[#This Row],[Wins]]+WP_Calc[[#This Row],[Losses]]),"")</f>
        <v/>
      </c>
    </row>
    <row r="130" spans="7:10" x14ac:dyDescent="0.2">
      <c r="G130" t="str">
        <f t="array" ref="G130">IFERROR(IFERROR(INDEX($A$2:$A$300, MATCH(0, COUNTIF($G$1:G129,$A$2:$A$300 ), 0)), INDEX($D$2:$D$300, MATCH(0, COUNTIF($G$1:G129,$D$2:$D$300 ), 0))), "")</f>
        <v/>
      </c>
      <c r="H130">
        <f>IFERROR(VLOOKUP(WP_Calc[[#This Row],[Team]],$A:$B,2,0),0)</f>
        <v>0</v>
      </c>
      <c r="I130">
        <f>IFERROR(VLOOKUP(WP_Calc[[#This Row],[Team]],$D:$E,2,0),0)</f>
        <v>0</v>
      </c>
      <c r="J130" s="6" t="str">
        <f>IFERROR(WP_Calc[[#This Row],[Wins]]/(WP_Calc[[#This Row],[Wins]]+WP_Calc[[#This Row],[Losses]]),"")</f>
        <v/>
      </c>
    </row>
    <row r="131" spans="7:10" x14ac:dyDescent="0.2">
      <c r="G131" t="str">
        <f t="array" ref="G131">IFERROR(IFERROR(INDEX($A$2:$A$300, MATCH(0, COUNTIF($G$1:G130,$A$2:$A$300 ), 0)), INDEX($D$2:$D$300, MATCH(0, COUNTIF($G$1:G130,$D$2:$D$300 ), 0))), "")</f>
        <v/>
      </c>
      <c r="H131">
        <f>IFERROR(VLOOKUP(WP_Calc[[#This Row],[Team]],$A:$B,2,0),0)</f>
        <v>0</v>
      </c>
      <c r="I131">
        <f>IFERROR(VLOOKUP(WP_Calc[[#This Row],[Team]],$D:$E,2,0),0)</f>
        <v>0</v>
      </c>
      <c r="J131" s="6" t="str">
        <f>IFERROR(WP_Calc[[#This Row],[Wins]]/(WP_Calc[[#This Row],[Wins]]+WP_Calc[[#This Row],[Losses]]),"")</f>
        <v/>
      </c>
    </row>
    <row r="132" spans="7:10" x14ac:dyDescent="0.2">
      <c r="G132" t="str">
        <f t="array" ref="G132">IFERROR(IFERROR(INDEX($A$2:$A$300, MATCH(0, COUNTIF($G$1:G131,$A$2:$A$300 ), 0)), INDEX($D$2:$D$300, MATCH(0, COUNTIF($G$1:G131,$D$2:$D$300 ), 0))), "")</f>
        <v/>
      </c>
      <c r="H132">
        <f>IFERROR(VLOOKUP(WP_Calc[[#This Row],[Team]],$A:$B,2,0),0)</f>
        <v>0</v>
      </c>
      <c r="I132">
        <f>IFERROR(VLOOKUP(WP_Calc[[#This Row],[Team]],$D:$E,2,0),0)</f>
        <v>0</v>
      </c>
      <c r="J132" s="6" t="str">
        <f>IFERROR(WP_Calc[[#This Row],[Wins]]/(WP_Calc[[#This Row],[Wins]]+WP_Calc[[#This Row],[Losses]]),"")</f>
        <v/>
      </c>
    </row>
    <row r="133" spans="7:10" x14ac:dyDescent="0.2">
      <c r="G133" t="str">
        <f t="array" ref="G133">IFERROR(IFERROR(INDEX($A$2:$A$300, MATCH(0, COUNTIF($G$1:G132,$A$2:$A$300 ), 0)), INDEX($D$2:$D$300, MATCH(0, COUNTIF($G$1:G132,$D$2:$D$300 ), 0))), "")</f>
        <v/>
      </c>
      <c r="H133">
        <f>IFERROR(VLOOKUP(WP_Calc[[#This Row],[Team]],$A:$B,2,0),0)</f>
        <v>0</v>
      </c>
      <c r="I133">
        <f>IFERROR(VLOOKUP(WP_Calc[[#This Row],[Team]],$D:$E,2,0),0)</f>
        <v>0</v>
      </c>
      <c r="J133" s="6" t="str">
        <f>IFERROR(WP_Calc[[#This Row],[Wins]]/(WP_Calc[[#This Row],[Wins]]+WP_Calc[[#This Row],[Losses]]),"")</f>
        <v/>
      </c>
    </row>
    <row r="134" spans="7:10" x14ac:dyDescent="0.2">
      <c r="G134" t="str">
        <f t="array" ref="G134">IFERROR(IFERROR(INDEX($A$2:$A$300, MATCH(0, COUNTIF($G$1:G133,$A$2:$A$300 ), 0)), INDEX($D$2:$D$300, MATCH(0, COUNTIF($G$1:G133,$D$2:$D$300 ), 0))), "")</f>
        <v/>
      </c>
      <c r="H134">
        <f>IFERROR(VLOOKUP(WP_Calc[[#This Row],[Team]],$A:$B,2,0),0)</f>
        <v>0</v>
      </c>
      <c r="I134">
        <f>IFERROR(VLOOKUP(WP_Calc[[#This Row],[Team]],$D:$E,2,0),0)</f>
        <v>0</v>
      </c>
      <c r="J134" s="6" t="str">
        <f>IFERROR(WP_Calc[[#This Row],[Wins]]/(WP_Calc[[#This Row],[Wins]]+WP_Calc[[#This Row],[Losses]]),"")</f>
        <v/>
      </c>
    </row>
    <row r="135" spans="7:10" x14ac:dyDescent="0.2">
      <c r="G135" t="str">
        <f t="array" ref="G135">IFERROR(IFERROR(INDEX($A$2:$A$300, MATCH(0, COUNTIF($G$1:G134,$A$2:$A$300 ), 0)), INDEX($D$2:$D$300, MATCH(0, COUNTIF($G$1:G134,$D$2:$D$300 ), 0))), "")</f>
        <v/>
      </c>
      <c r="H135">
        <f>IFERROR(VLOOKUP(WP_Calc[[#This Row],[Team]],$A:$B,2,0),0)</f>
        <v>0</v>
      </c>
      <c r="I135">
        <f>IFERROR(VLOOKUP(WP_Calc[[#This Row],[Team]],$D:$E,2,0),0)</f>
        <v>0</v>
      </c>
      <c r="J135" s="6" t="str">
        <f>IFERROR(WP_Calc[[#This Row],[Wins]]/(WP_Calc[[#This Row],[Wins]]+WP_Calc[[#This Row],[Losses]]),"")</f>
        <v/>
      </c>
    </row>
    <row r="136" spans="7:10" x14ac:dyDescent="0.2">
      <c r="G136" t="str">
        <f t="array" ref="G136">IFERROR(IFERROR(INDEX($A$2:$A$300, MATCH(0, COUNTIF($G$1:G135,$A$2:$A$300 ), 0)), INDEX($D$2:$D$300, MATCH(0, COUNTIF($G$1:G135,$D$2:$D$300 ), 0))), "")</f>
        <v/>
      </c>
      <c r="H136">
        <f>IFERROR(VLOOKUP(WP_Calc[[#This Row],[Team]],$A:$B,2,0),0)</f>
        <v>0</v>
      </c>
      <c r="I136">
        <f>IFERROR(VLOOKUP(WP_Calc[[#This Row],[Team]],$D:$E,2,0),0)</f>
        <v>0</v>
      </c>
      <c r="J136" s="6" t="str">
        <f>IFERROR(WP_Calc[[#This Row],[Wins]]/(WP_Calc[[#This Row],[Wins]]+WP_Calc[[#This Row],[Losses]]),"")</f>
        <v/>
      </c>
    </row>
    <row r="137" spans="7:10" x14ac:dyDescent="0.2">
      <c r="G137" t="str">
        <f t="array" ref="G137">IFERROR(IFERROR(INDEX($A$2:$A$300, MATCH(0, COUNTIF($G$1:G136,$A$2:$A$300 ), 0)), INDEX($D$2:$D$300, MATCH(0, COUNTIF($G$1:G136,$D$2:$D$300 ), 0))), "")</f>
        <v/>
      </c>
      <c r="H137">
        <f>IFERROR(VLOOKUP(WP_Calc[[#This Row],[Team]],$A:$B,2,0),0)</f>
        <v>0</v>
      </c>
      <c r="I137">
        <f>IFERROR(VLOOKUP(WP_Calc[[#This Row],[Team]],$D:$E,2,0),0)</f>
        <v>0</v>
      </c>
      <c r="J137" s="6" t="str">
        <f>IFERROR(WP_Calc[[#This Row],[Wins]]/(WP_Calc[[#This Row],[Wins]]+WP_Calc[[#This Row],[Losses]]),"")</f>
        <v/>
      </c>
    </row>
    <row r="138" spans="7:10" x14ac:dyDescent="0.2">
      <c r="G138" t="str">
        <f t="array" ref="G138">IFERROR(IFERROR(INDEX($A$2:$A$300, MATCH(0, COUNTIF($G$1:G137,$A$2:$A$300 ), 0)), INDEX($D$2:$D$300, MATCH(0, COUNTIF($G$1:G137,$D$2:$D$300 ), 0))), "")</f>
        <v/>
      </c>
      <c r="H138">
        <f>IFERROR(VLOOKUP(WP_Calc[[#This Row],[Team]],$A:$B,2,0),0)</f>
        <v>0</v>
      </c>
      <c r="I138">
        <f>IFERROR(VLOOKUP(WP_Calc[[#This Row],[Team]],$D:$E,2,0),0)</f>
        <v>0</v>
      </c>
      <c r="J138" s="6" t="str">
        <f>IFERROR(WP_Calc[[#This Row],[Wins]]/(WP_Calc[[#This Row],[Wins]]+WP_Calc[[#This Row],[Losses]]),"")</f>
        <v/>
      </c>
    </row>
    <row r="139" spans="7:10" x14ac:dyDescent="0.2">
      <c r="G139" t="str">
        <f t="array" ref="G139">IFERROR(IFERROR(INDEX($A$2:$A$300, MATCH(0, COUNTIF($G$1:G138,$A$2:$A$300 ), 0)), INDEX($D$2:$D$300, MATCH(0, COUNTIF($G$1:G138,$D$2:$D$300 ), 0))), "")</f>
        <v/>
      </c>
      <c r="H139">
        <f>IFERROR(VLOOKUP(WP_Calc[[#This Row],[Team]],$A:$B,2,0),0)</f>
        <v>0</v>
      </c>
      <c r="I139">
        <f>IFERROR(VLOOKUP(WP_Calc[[#This Row],[Team]],$D:$E,2,0),0)</f>
        <v>0</v>
      </c>
      <c r="J139" s="6" t="str">
        <f>IFERROR(WP_Calc[[#This Row],[Wins]]/(WP_Calc[[#This Row],[Wins]]+WP_Calc[[#This Row],[Losses]]),"")</f>
        <v/>
      </c>
    </row>
    <row r="140" spans="7:10" x14ac:dyDescent="0.2">
      <c r="G140" t="str">
        <f t="array" ref="G140">IFERROR(IFERROR(INDEX($A$2:$A$300, MATCH(0, COUNTIF($G$1:G139,$A$2:$A$300 ), 0)), INDEX($D$2:$D$300, MATCH(0, COUNTIF($G$1:G139,$D$2:$D$300 ), 0))), "")</f>
        <v/>
      </c>
      <c r="H140">
        <f>IFERROR(VLOOKUP(WP_Calc[[#This Row],[Team]],$A:$B,2,0),0)</f>
        <v>0</v>
      </c>
      <c r="I140">
        <f>IFERROR(VLOOKUP(WP_Calc[[#This Row],[Team]],$D:$E,2,0),0)</f>
        <v>0</v>
      </c>
      <c r="J140" s="6" t="str">
        <f>IFERROR(WP_Calc[[#This Row],[Wins]]/(WP_Calc[[#This Row],[Wins]]+WP_Calc[[#This Row],[Losses]]),"")</f>
        <v/>
      </c>
    </row>
    <row r="141" spans="7:10" x14ac:dyDescent="0.2">
      <c r="G141" t="str">
        <f t="array" ref="G141">IFERROR(IFERROR(INDEX($A$2:$A$300, MATCH(0, COUNTIF($G$1:G140,$A$2:$A$300 ), 0)), INDEX($D$2:$D$300, MATCH(0, COUNTIF($G$1:G140,$D$2:$D$300 ), 0))), "")</f>
        <v/>
      </c>
      <c r="H141">
        <f>IFERROR(VLOOKUP(WP_Calc[[#This Row],[Team]],$A:$B,2,0),0)</f>
        <v>0</v>
      </c>
      <c r="I141">
        <f>IFERROR(VLOOKUP(WP_Calc[[#This Row],[Team]],$D:$E,2,0),0)</f>
        <v>0</v>
      </c>
      <c r="J141" s="6" t="str">
        <f>IFERROR(WP_Calc[[#This Row],[Wins]]/(WP_Calc[[#This Row],[Wins]]+WP_Calc[[#This Row],[Losses]]),"")</f>
        <v/>
      </c>
    </row>
    <row r="142" spans="7:10" x14ac:dyDescent="0.2">
      <c r="G142" t="str">
        <f t="array" ref="G142">IFERROR(IFERROR(INDEX($A$2:$A$300, MATCH(0, COUNTIF($G$1:G141,$A$2:$A$300 ), 0)), INDEX($D$2:$D$300, MATCH(0, COUNTIF($G$1:G141,$D$2:$D$300 ), 0))), "")</f>
        <v/>
      </c>
      <c r="H142">
        <f>IFERROR(VLOOKUP(WP_Calc[[#This Row],[Team]],$A:$B,2,0),0)</f>
        <v>0</v>
      </c>
      <c r="I142">
        <f>IFERROR(VLOOKUP(WP_Calc[[#This Row],[Team]],$D:$E,2,0),0)</f>
        <v>0</v>
      </c>
      <c r="J142" s="6" t="str">
        <f>IFERROR(WP_Calc[[#This Row],[Wins]]/(WP_Calc[[#This Row],[Wins]]+WP_Calc[[#This Row],[Losses]]),"")</f>
        <v/>
      </c>
    </row>
    <row r="143" spans="7:10" x14ac:dyDescent="0.2">
      <c r="G143" t="str">
        <f t="array" ref="G143">IFERROR(IFERROR(INDEX($A$2:$A$300, MATCH(0, COUNTIF($G$1:G142,$A$2:$A$300 ), 0)), INDEX($D$2:$D$300, MATCH(0, COUNTIF($G$1:G142,$D$2:$D$300 ), 0))), "")</f>
        <v/>
      </c>
      <c r="H143">
        <f>IFERROR(VLOOKUP(WP_Calc[[#This Row],[Team]],$A:$B,2,0),0)</f>
        <v>0</v>
      </c>
      <c r="I143">
        <f>IFERROR(VLOOKUP(WP_Calc[[#This Row],[Team]],$D:$E,2,0),0)</f>
        <v>0</v>
      </c>
      <c r="J143" s="6" t="str">
        <f>IFERROR(WP_Calc[[#This Row],[Wins]]/(WP_Calc[[#This Row],[Wins]]+WP_Calc[[#This Row],[Losses]]),"")</f>
        <v/>
      </c>
    </row>
    <row r="144" spans="7:10" x14ac:dyDescent="0.2">
      <c r="G144" t="str">
        <f t="array" ref="G144">IFERROR(IFERROR(INDEX($A$2:$A$300, MATCH(0, COUNTIF($G$1:G143,$A$2:$A$300 ), 0)), INDEX($D$2:$D$300, MATCH(0, COUNTIF($G$1:G143,$D$2:$D$300 ), 0))), "")</f>
        <v/>
      </c>
      <c r="H144">
        <f>IFERROR(VLOOKUP(WP_Calc[[#This Row],[Team]],$A:$B,2,0),0)</f>
        <v>0</v>
      </c>
      <c r="I144">
        <f>IFERROR(VLOOKUP(WP_Calc[[#This Row],[Team]],$D:$E,2,0),0)</f>
        <v>0</v>
      </c>
      <c r="J144" s="6" t="str">
        <f>IFERROR(WP_Calc[[#This Row],[Wins]]/(WP_Calc[[#This Row],[Wins]]+WP_Calc[[#This Row],[Losses]]),"")</f>
        <v/>
      </c>
    </row>
    <row r="145" spans="7:10" x14ac:dyDescent="0.2">
      <c r="G145" t="str">
        <f t="array" ref="G145">IFERROR(IFERROR(INDEX($A$2:$A$300, MATCH(0, COUNTIF($G$1:G144,$A$2:$A$300 ), 0)), INDEX($D$2:$D$300, MATCH(0, COUNTIF($G$1:G144,$D$2:$D$300 ), 0))), "")</f>
        <v/>
      </c>
      <c r="H145">
        <f>IFERROR(VLOOKUP(WP_Calc[[#This Row],[Team]],$A:$B,2,0),0)</f>
        <v>0</v>
      </c>
      <c r="I145">
        <f>IFERROR(VLOOKUP(WP_Calc[[#This Row],[Team]],$D:$E,2,0),0)</f>
        <v>0</v>
      </c>
      <c r="J145" s="6" t="str">
        <f>IFERROR(WP_Calc[[#This Row],[Wins]]/(WP_Calc[[#This Row],[Wins]]+WP_Calc[[#This Row],[Losses]]),"")</f>
        <v/>
      </c>
    </row>
    <row r="146" spans="7:10" x14ac:dyDescent="0.2">
      <c r="G146" t="str">
        <f t="array" ref="G146">IFERROR(IFERROR(INDEX($A$2:$A$300, MATCH(0, COUNTIF($G$1:G145,$A$2:$A$300 ), 0)), INDEX($D$2:$D$300, MATCH(0, COUNTIF($G$1:G145,$D$2:$D$300 ), 0))), "")</f>
        <v/>
      </c>
      <c r="H146">
        <f>IFERROR(VLOOKUP(WP_Calc[[#This Row],[Team]],$A:$B,2,0),0)</f>
        <v>0</v>
      </c>
      <c r="I146">
        <f>IFERROR(VLOOKUP(WP_Calc[[#This Row],[Team]],$D:$E,2,0),0)</f>
        <v>0</v>
      </c>
      <c r="J146" s="6" t="str">
        <f>IFERROR(WP_Calc[[#This Row],[Wins]]/(WP_Calc[[#This Row],[Wins]]+WP_Calc[[#This Row],[Losses]]),"")</f>
        <v/>
      </c>
    </row>
    <row r="147" spans="7:10" x14ac:dyDescent="0.2">
      <c r="G147" t="str">
        <f t="array" ref="G147">IFERROR(IFERROR(INDEX($A$2:$A$300, MATCH(0, COUNTIF($G$1:G146,$A$2:$A$300 ), 0)), INDEX($D$2:$D$300, MATCH(0, COUNTIF($G$1:G146,$D$2:$D$300 ), 0))), "")</f>
        <v/>
      </c>
      <c r="H147">
        <f>IFERROR(VLOOKUP(WP_Calc[[#This Row],[Team]],$A:$B,2,0),0)</f>
        <v>0</v>
      </c>
      <c r="I147">
        <f>IFERROR(VLOOKUP(WP_Calc[[#This Row],[Team]],$D:$E,2,0),0)</f>
        <v>0</v>
      </c>
      <c r="J147" s="6" t="str">
        <f>IFERROR(WP_Calc[[#This Row],[Wins]]/(WP_Calc[[#This Row],[Wins]]+WP_Calc[[#This Row],[Losses]]),"")</f>
        <v/>
      </c>
    </row>
    <row r="148" spans="7:10" x14ac:dyDescent="0.2">
      <c r="G148" t="str">
        <f t="array" ref="G148">IFERROR(IFERROR(INDEX($A$2:$A$300, MATCH(0, COUNTIF($G$1:G147,$A$2:$A$300 ), 0)), INDEX($D$2:$D$300, MATCH(0, COUNTIF($G$1:G147,$D$2:$D$300 ), 0))), "")</f>
        <v/>
      </c>
      <c r="H148">
        <f>IFERROR(VLOOKUP(WP_Calc[[#This Row],[Team]],$A:$B,2,0),0)</f>
        <v>0</v>
      </c>
      <c r="I148">
        <f>IFERROR(VLOOKUP(WP_Calc[[#This Row],[Team]],$D:$E,2,0),0)</f>
        <v>0</v>
      </c>
      <c r="J148" s="6" t="str">
        <f>IFERROR(WP_Calc[[#This Row],[Wins]]/(WP_Calc[[#This Row],[Wins]]+WP_Calc[[#This Row],[Losses]]),"")</f>
        <v/>
      </c>
    </row>
    <row r="149" spans="7:10" x14ac:dyDescent="0.2">
      <c r="G149" s="3" t="str">
        <f t="array" ref="G149">IFERROR(IFERROR(INDEX($A$2:$A$300, MATCH(0, COUNTIF($G$1:G148,$A$2:$A$300 ), 0)), INDEX($D$2:$D$300, MATCH(0, COUNTIF($G$1:G148,$D$2:$D$300 ), 0))), "")</f>
        <v/>
      </c>
      <c r="H149">
        <f>IFERROR(VLOOKUP(WP_Calc[[#This Row],[Team]],$A:$B,2,0),0)</f>
        <v>0</v>
      </c>
      <c r="I149">
        <f>IFERROR(VLOOKUP(WP_Calc[[#This Row],[Team]],$D:$E,2,0),0)</f>
        <v>0</v>
      </c>
      <c r="J149" s="6" t="str">
        <f>IFERROR(WP_Calc[[#This Row],[Wins]]/(WP_Calc[[#This Row],[Wins]]+WP_Calc[[#This Row],[Losses]]),"")</f>
        <v/>
      </c>
    </row>
    <row r="150" spans="7:10" x14ac:dyDescent="0.2">
      <c r="G150" s="3" t="str">
        <f t="array" ref="G150">IFERROR(IFERROR(INDEX($A$2:$A$300, MATCH(0, COUNTIF($G$1:G149,$A$2:$A$300 ), 0)), INDEX($D$2:$D$300, MATCH(0, COUNTIF($G$1:G149,$D$2:$D$300 ), 0))), "")</f>
        <v/>
      </c>
      <c r="H150">
        <f>IFERROR(VLOOKUP(WP_Calc[[#This Row],[Team]],$A:$B,2,0),0)</f>
        <v>0</v>
      </c>
      <c r="I150">
        <f>IFERROR(VLOOKUP(WP_Calc[[#This Row],[Team]],$D:$E,2,0),0)</f>
        <v>0</v>
      </c>
      <c r="J150" s="6" t="str">
        <f>IFERROR(WP_Calc[[#This Row],[Wins]]/(WP_Calc[[#This Row],[Wins]]+WP_Calc[[#This Row],[Losses]]),"")</f>
        <v/>
      </c>
    </row>
    <row r="151" spans="7:10" x14ac:dyDescent="0.2">
      <c r="G151" s="3" t="str">
        <f t="array" ref="G151">IFERROR(IFERROR(INDEX($A$2:$A$300, MATCH(0, COUNTIF($G$1:G150,$A$2:$A$300 ), 0)), INDEX($D$2:$D$300, MATCH(0, COUNTIF($G$1:G150,$D$2:$D$300 ), 0))), "")</f>
        <v/>
      </c>
      <c r="H151">
        <f>IFERROR(VLOOKUP(WP_Calc[[#This Row],[Team]],$A:$B,2,0),0)</f>
        <v>0</v>
      </c>
      <c r="I151">
        <f>IFERROR(VLOOKUP(WP_Calc[[#This Row],[Team]],$D:$E,2,0),0)</f>
        <v>0</v>
      </c>
      <c r="J151" s="6" t="str">
        <f>IFERROR(WP_Calc[[#This Row],[Wins]]/(WP_Calc[[#This Row],[Wins]]+WP_Calc[[#This Row],[Losses]]),"")</f>
        <v/>
      </c>
    </row>
    <row r="152" spans="7:10" x14ac:dyDescent="0.2">
      <c r="G152" s="3" t="str">
        <f t="array" ref="G152">IFERROR(IFERROR(INDEX($A$2:$A$300, MATCH(0, COUNTIF($G$1:G151,$A$2:$A$300 ), 0)), INDEX($D$2:$D$300, MATCH(0, COUNTIF($G$1:G151,$D$2:$D$300 ), 0))), "")</f>
        <v/>
      </c>
      <c r="H152">
        <f>IFERROR(VLOOKUP(WP_Calc[[#This Row],[Team]],$A:$B,2,0),0)</f>
        <v>0</v>
      </c>
      <c r="I152">
        <f>IFERROR(VLOOKUP(WP_Calc[[#This Row],[Team]],$D:$E,2,0),0)</f>
        <v>0</v>
      </c>
      <c r="J152" s="6" t="str">
        <f>IFERROR(WP_Calc[[#This Row],[Wins]]/(WP_Calc[[#This Row],[Wins]]+WP_Calc[[#This Row],[Losses]]),"")</f>
        <v/>
      </c>
    </row>
    <row r="153" spans="7:10" x14ac:dyDescent="0.2">
      <c r="G153" s="3" t="str">
        <f t="array" ref="G153">IFERROR(IFERROR(INDEX($A$2:$A$300, MATCH(0, COUNTIF($G$1:G152,$A$2:$A$300 ), 0)), INDEX($D$2:$D$300, MATCH(0, COUNTIF($G$1:G152,$D$2:$D$300 ), 0))), "")</f>
        <v/>
      </c>
      <c r="H153">
        <f>IFERROR(VLOOKUP(WP_Calc[[#This Row],[Team]],$A:$B,2,0),0)</f>
        <v>0</v>
      </c>
      <c r="I153">
        <f>IFERROR(VLOOKUP(WP_Calc[[#This Row],[Team]],$D:$E,2,0),0)</f>
        <v>0</v>
      </c>
      <c r="J153" s="6" t="str">
        <f>IFERROR(WP_Calc[[#This Row],[Wins]]/(WP_Calc[[#This Row],[Wins]]+WP_Calc[[#This Row],[Losses]]),"")</f>
        <v/>
      </c>
    </row>
    <row r="154" spans="7:10" x14ac:dyDescent="0.2">
      <c r="G154" s="3" t="str">
        <f t="array" ref="G154">IFERROR(IFERROR(INDEX($A$2:$A$300, MATCH(0, COUNTIF($G$1:G153,$A$2:$A$300 ), 0)), INDEX($D$2:$D$300, MATCH(0, COUNTIF($G$1:G153,$D$2:$D$300 ), 0))), "")</f>
        <v/>
      </c>
      <c r="H154">
        <f>IFERROR(VLOOKUP(WP_Calc[[#This Row],[Team]],$A:$B,2,0),0)</f>
        <v>0</v>
      </c>
      <c r="I154">
        <f>IFERROR(VLOOKUP(WP_Calc[[#This Row],[Team]],$D:$E,2,0),0)</f>
        <v>0</v>
      </c>
      <c r="J154" s="6" t="str">
        <f>IFERROR(WP_Calc[[#This Row],[Wins]]/(WP_Calc[[#This Row],[Wins]]+WP_Calc[[#This Row],[Losses]]),"")</f>
        <v/>
      </c>
    </row>
    <row r="155" spans="7:10" x14ac:dyDescent="0.2">
      <c r="G155" s="3" t="str">
        <f t="array" ref="G155">IFERROR(IFERROR(INDEX($A$2:$A$300, MATCH(0, COUNTIF($G$1:G154,$A$2:$A$300 ), 0)), INDEX($D$2:$D$300, MATCH(0, COUNTIF($G$1:G154,$D$2:$D$300 ), 0))), "")</f>
        <v/>
      </c>
      <c r="H155">
        <f>IFERROR(VLOOKUP(WP_Calc[[#This Row],[Team]],$A:$B,2,0),0)</f>
        <v>0</v>
      </c>
      <c r="I155">
        <f>IFERROR(VLOOKUP(WP_Calc[[#This Row],[Team]],$D:$E,2,0),0)</f>
        <v>0</v>
      </c>
      <c r="J155" s="6" t="str">
        <f>IFERROR(WP_Calc[[#This Row],[Wins]]/(WP_Calc[[#This Row],[Wins]]+WP_Calc[[#This Row],[Losses]]),"")</f>
        <v/>
      </c>
    </row>
    <row r="156" spans="7:10" x14ac:dyDescent="0.2">
      <c r="G156" s="3" t="str">
        <f t="array" ref="G156">IFERROR(IFERROR(INDEX($A$2:$A$300, MATCH(0, COUNTIF($G$1:G155,$A$2:$A$300 ), 0)), INDEX($D$2:$D$300, MATCH(0, COUNTIF($G$1:G155,$D$2:$D$300 ), 0))), "")</f>
        <v/>
      </c>
      <c r="H156">
        <f>IFERROR(VLOOKUP(WP_Calc[[#This Row],[Team]],$A:$B,2,0),0)</f>
        <v>0</v>
      </c>
      <c r="I156">
        <f>IFERROR(VLOOKUP(WP_Calc[[#This Row],[Team]],$D:$E,2,0),0)</f>
        <v>0</v>
      </c>
      <c r="J156" s="6" t="str">
        <f>IFERROR(WP_Calc[[#This Row],[Wins]]/(WP_Calc[[#This Row],[Wins]]+WP_Calc[[#This Row],[Losses]]),"")</f>
        <v/>
      </c>
    </row>
    <row r="157" spans="7:10" x14ac:dyDescent="0.2">
      <c r="G157" s="3" t="str">
        <f t="array" ref="G157">IFERROR(IFERROR(INDEX($A$2:$A$300, MATCH(0, COUNTIF($G$1:G156,$A$2:$A$300 ), 0)), INDEX($D$2:$D$300, MATCH(0, COUNTIF($G$1:G156,$D$2:$D$300 ), 0))), "")</f>
        <v/>
      </c>
      <c r="H157">
        <f>IFERROR(VLOOKUP(WP_Calc[[#This Row],[Team]],$A:$B,2,0),0)</f>
        <v>0</v>
      </c>
      <c r="I157">
        <f>IFERROR(VLOOKUP(WP_Calc[[#This Row],[Team]],$D:$E,2,0),0)</f>
        <v>0</v>
      </c>
      <c r="J157" s="6" t="str">
        <f>IFERROR(WP_Calc[[#This Row],[Wins]]/(WP_Calc[[#This Row],[Wins]]+WP_Calc[[#This Row],[Losses]]),"")</f>
        <v/>
      </c>
    </row>
    <row r="158" spans="7:10" x14ac:dyDescent="0.2">
      <c r="G158" s="3" t="str">
        <f t="array" ref="G158">IFERROR(IFERROR(INDEX($A$2:$A$300, MATCH(0, COUNTIF($G$1:G157,$A$2:$A$300 ), 0)), INDEX($D$2:$D$300, MATCH(0, COUNTIF($G$1:G157,$D$2:$D$300 ), 0))), "")</f>
        <v/>
      </c>
      <c r="H158">
        <f>IFERROR(VLOOKUP(WP_Calc[[#This Row],[Team]],$A:$B,2,0),0)</f>
        <v>0</v>
      </c>
      <c r="I158">
        <f>IFERROR(VLOOKUP(WP_Calc[[#This Row],[Team]],$D:$E,2,0),0)</f>
        <v>0</v>
      </c>
      <c r="J158" s="6" t="str">
        <f>IFERROR(WP_Calc[[#This Row],[Wins]]/(WP_Calc[[#This Row],[Wins]]+WP_Calc[[#This Row],[Losses]]),"")</f>
        <v/>
      </c>
    </row>
    <row r="159" spans="7:10" x14ac:dyDescent="0.2">
      <c r="G159" s="3" t="str">
        <f t="array" ref="G159">IFERROR(IFERROR(INDEX($A$2:$A$300, MATCH(0, COUNTIF($G$1:G158,$A$2:$A$300 ), 0)), INDEX($D$2:$D$300, MATCH(0, COUNTIF($G$1:G158,$D$2:$D$300 ), 0))), "")</f>
        <v/>
      </c>
      <c r="H159">
        <f>IFERROR(VLOOKUP(WP_Calc[[#This Row],[Team]],$A:$B,2,0),0)</f>
        <v>0</v>
      </c>
      <c r="I159">
        <f>IFERROR(VLOOKUP(WP_Calc[[#This Row],[Team]],$D:$E,2,0),0)</f>
        <v>0</v>
      </c>
      <c r="J159" s="6" t="str">
        <f>IFERROR(WP_Calc[[#This Row],[Wins]]/(WP_Calc[[#This Row],[Wins]]+WP_Calc[[#This Row],[Losses]]),"")</f>
        <v/>
      </c>
    </row>
    <row r="160" spans="7:10" x14ac:dyDescent="0.2">
      <c r="G160" s="3" t="str">
        <f t="array" ref="G160">IFERROR(IFERROR(INDEX($A$2:$A$300, MATCH(0, COUNTIF($G$1:G159,$A$2:$A$300 ), 0)), INDEX($D$2:$D$300, MATCH(0, COUNTIF($G$1:G159,$D$2:$D$300 ), 0))), "")</f>
        <v/>
      </c>
      <c r="H160">
        <f>IFERROR(VLOOKUP(WP_Calc[[#This Row],[Team]],$A:$B,2,0),0)</f>
        <v>0</v>
      </c>
      <c r="I160">
        <f>IFERROR(VLOOKUP(WP_Calc[[#This Row],[Team]],$D:$E,2,0),0)</f>
        <v>0</v>
      </c>
      <c r="J160" s="6" t="str">
        <f>IFERROR(WP_Calc[[#This Row],[Wins]]/(WP_Calc[[#This Row],[Wins]]+WP_Calc[[#This Row],[Losses]]),"")</f>
        <v/>
      </c>
    </row>
    <row r="161" spans="7:10" x14ac:dyDescent="0.2">
      <c r="G161" s="3" t="str">
        <f t="array" ref="G161">IFERROR(IFERROR(INDEX($A$2:$A$300, MATCH(0, COUNTIF($G$1:G160,$A$2:$A$300 ), 0)), INDEX($D$2:$D$300, MATCH(0, COUNTIF($G$1:G160,$D$2:$D$300 ), 0))), "")</f>
        <v/>
      </c>
      <c r="H161">
        <f>IFERROR(VLOOKUP(WP_Calc[[#This Row],[Team]],$A:$B,2,0),0)</f>
        <v>0</v>
      </c>
      <c r="I161">
        <f>IFERROR(VLOOKUP(WP_Calc[[#This Row],[Team]],$D:$E,2,0),0)</f>
        <v>0</v>
      </c>
      <c r="J161" s="6" t="str">
        <f>IFERROR(WP_Calc[[#This Row],[Wins]]/(WP_Calc[[#This Row],[Wins]]+WP_Calc[[#This Row],[Losses]]),"")</f>
        <v/>
      </c>
    </row>
    <row r="162" spans="7:10" x14ac:dyDescent="0.2">
      <c r="G162" s="3" t="str">
        <f t="array" ref="G162">IFERROR(IFERROR(INDEX($A$2:$A$300, MATCH(0, COUNTIF($G$1:G161,$A$2:$A$300 ), 0)), INDEX($D$2:$D$300, MATCH(0, COUNTIF($G$1:G161,$D$2:$D$300 ), 0))), "")</f>
        <v/>
      </c>
      <c r="H162">
        <f>IFERROR(VLOOKUP(WP_Calc[[#This Row],[Team]],$A:$B,2,0),0)</f>
        <v>0</v>
      </c>
      <c r="I162">
        <f>IFERROR(VLOOKUP(WP_Calc[[#This Row],[Team]],$D:$E,2,0),0)</f>
        <v>0</v>
      </c>
      <c r="J162" s="6" t="str">
        <f>IFERROR(WP_Calc[[#This Row],[Wins]]/(WP_Calc[[#This Row],[Wins]]+WP_Calc[[#This Row],[Losses]]),"")</f>
        <v/>
      </c>
    </row>
    <row r="163" spans="7:10" x14ac:dyDescent="0.2">
      <c r="G163" s="3" t="str">
        <f t="array" ref="G163">IFERROR(IFERROR(INDEX($A$2:$A$300, MATCH(0, COUNTIF($G$1:G162,$A$2:$A$300 ), 0)), INDEX($D$2:$D$300, MATCH(0, COUNTIF($G$1:G162,$D$2:$D$300 ), 0))), "")</f>
        <v/>
      </c>
      <c r="H163">
        <f>IFERROR(VLOOKUP(WP_Calc[[#This Row],[Team]],$A:$B,2,0),0)</f>
        <v>0</v>
      </c>
      <c r="I163">
        <f>IFERROR(VLOOKUP(WP_Calc[[#This Row],[Team]],$D:$E,2,0),0)</f>
        <v>0</v>
      </c>
      <c r="J163" s="6" t="str">
        <f>IFERROR(WP_Calc[[#This Row],[Wins]]/(WP_Calc[[#This Row],[Wins]]+WP_Calc[[#This Row],[Losses]]),"")</f>
        <v/>
      </c>
    </row>
    <row r="164" spans="7:10" x14ac:dyDescent="0.2">
      <c r="G164" s="3" t="str">
        <f t="array" ref="G164">IFERROR(IFERROR(INDEX($A$2:$A$300, MATCH(0, COUNTIF($G$1:G163,$A$2:$A$300 ), 0)), INDEX($D$2:$D$300, MATCH(0, COUNTIF($G$1:G163,$D$2:$D$300 ), 0))), "")</f>
        <v/>
      </c>
      <c r="H164">
        <f>IFERROR(VLOOKUP(WP_Calc[[#This Row],[Team]],$A:$B,2,0),0)</f>
        <v>0</v>
      </c>
      <c r="I164">
        <f>IFERROR(VLOOKUP(WP_Calc[[#This Row],[Team]],$D:$E,2,0),0)</f>
        <v>0</v>
      </c>
      <c r="J164" s="6" t="str">
        <f>IFERROR(WP_Calc[[#This Row],[Wins]]/(WP_Calc[[#This Row],[Wins]]+WP_Calc[[#This Row],[Losses]]),"")</f>
        <v/>
      </c>
    </row>
    <row r="165" spans="7:10" x14ac:dyDescent="0.2">
      <c r="G165" s="3" t="str">
        <f t="array" ref="G165">IFERROR(IFERROR(INDEX($A$2:$A$300, MATCH(0, COUNTIF($G$1:G164,$A$2:$A$300 ), 0)), INDEX($D$2:$D$300, MATCH(0, COUNTIF($G$1:G164,$D$2:$D$300 ), 0))), "")</f>
        <v/>
      </c>
      <c r="H165">
        <f>IFERROR(VLOOKUP(WP_Calc[[#This Row],[Team]],$A:$B,2,0),0)</f>
        <v>0</v>
      </c>
      <c r="I165">
        <f>IFERROR(VLOOKUP(WP_Calc[[#This Row],[Team]],$D:$E,2,0),0)</f>
        <v>0</v>
      </c>
      <c r="J165" s="6" t="str">
        <f>IFERROR(WP_Calc[[#This Row],[Wins]]/(WP_Calc[[#This Row],[Wins]]+WP_Calc[[#This Row],[Losses]]),"")</f>
        <v/>
      </c>
    </row>
    <row r="166" spans="7:10" x14ac:dyDescent="0.2">
      <c r="G166" s="3" t="str">
        <f t="array" ref="G166">IFERROR(IFERROR(INDEX($A$2:$A$300, MATCH(0, COUNTIF($G$1:G165,$A$2:$A$300 ), 0)), INDEX($D$2:$D$300, MATCH(0, COUNTIF($G$1:G165,$D$2:$D$300 ), 0))), "")</f>
        <v/>
      </c>
      <c r="H166">
        <f>IFERROR(VLOOKUP(WP_Calc[[#This Row],[Team]],$A:$B,2,0),0)</f>
        <v>0</v>
      </c>
      <c r="I166">
        <f>IFERROR(VLOOKUP(WP_Calc[[#This Row],[Team]],$D:$E,2,0),0)</f>
        <v>0</v>
      </c>
      <c r="J166" s="6" t="str">
        <f>IFERROR(WP_Calc[[#This Row],[Wins]]/(WP_Calc[[#This Row],[Wins]]+WP_Calc[[#This Row],[Losses]]),"")</f>
        <v/>
      </c>
    </row>
    <row r="167" spans="7:10" x14ac:dyDescent="0.2">
      <c r="G167" s="3" t="str">
        <f t="array" ref="G167">IFERROR(IFERROR(INDEX($A$2:$A$300, MATCH(0, COUNTIF($G$1:G166,$A$2:$A$300 ), 0)), INDEX($D$2:$D$300, MATCH(0, COUNTIF($G$1:G166,$D$2:$D$300 ), 0))), "")</f>
        <v/>
      </c>
      <c r="H167">
        <f>IFERROR(VLOOKUP(WP_Calc[[#This Row],[Team]],$A:$B,2,0),0)</f>
        <v>0</v>
      </c>
      <c r="I167">
        <f>IFERROR(VLOOKUP(WP_Calc[[#This Row],[Team]],$D:$E,2,0),0)</f>
        <v>0</v>
      </c>
      <c r="J167" s="6" t="str">
        <f>IFERROR(WP_Calc[[#This Row],[Wins]]/(WP_Calc[[#This Row],[Wins]]+WP_Calc[[#This Row],[Losses]]),"")</f>
        <v/>
      </c>
    </row>
    <row r="168" spans="7:10" x14ac:dyDescent="0.2">
      <c r="G168" s="3" t="str">
        <f t="array" ref="G168">IFERROR(IFERROR(INDEX($A$2:$A$300, MATCH(0, COUNTIF($G$1:G167,$A$2:$A$300 ), 0)), INDEX($D$2:$D$300, MATCH(0, COUNTIF($G$1:G167,$D$2:$D$300 ), 0))), "")</f>
        <v/>
      </c>
      <c r="H168">
        <f>IFERROR(VLOOKUP(WP_Calc[[#This Row],[Team]],$A:$B,2,0),0)</f>
        <v>0</v>
      </c>
      <c r="I168">
        <f>IFERROR(VLOOKUP(WP_Calc[[#This Row],[Team]],$D:$E,2,0),0)</f>
        <v>0</v>
      </c>
      <c r="J168" s="6" t="str">
        <f>IFERROR(WP_Calc[[#This Row],[Wins]]/(WP_Calc[[#This Row],[Wins]]+WP_Calc[[#This Row],[Losses]]),"")</f>
        <v/>
      </c>
    </row>
    <row r="169" spans="7:10" x14ac:dyDescent="0.2">
      <c r="G169" s="3" t="str">
        <f t="array" ref="G169">IFERROR(IFERROR(INDEX($A$2:$A$300, MATCH(0, COUNTIF($G$1:G168,$A$2:$A$300 ), 0)), INDEX($D$2:$D$300, MATCH(0, COUNTIF($G$1:G168,$D$2:$D$300 ), 0))), "")</f>
        <v/>
      </c>
      <c r="H169">
        <f>IFERROR(VLOOKUP(WP_Calc[[#This Row],[Team]],$A:$B,2,0),0)</f>
        <v>0</v>
      </c>
      <c r="I169">
        <f>IFERROR(VLOOKUP(WP_Calc[[#This Row],[Team]],$D:$E,2,0),0)</f>
        <v>0</v>
      </c>
      <c r="J169" s="6" t="str">
        <f>IFERROR(WP_Calc[[#This Row],[Wins]]/(WP_Calc[[#This Row],[Wins]]+WP_Calc[[#This Row],[Losses]]),"")</f>
        <v/>
      </c>
    </row>
    <row r="170" spans="7:10" x14ac:dyDescent="0.2">
      <c r="G170" s="3" t="str">
        <f t="array" ref="G170">IFERROR(IFERROR(INDEX($A$2:$A$300, MATCH(0, COUNTIF($G$1:G169,$A$2:$A$300 ), 0)), INDEX($D$2:$D$300, MATCH(0, COUNTIF($G$1:G169,$D$2:$D$300 ), 0))), "")</f>
        <v/>
      </c>
      <c r="H170">
        <f>IFERROR(VLOOKUP(WP_Calc[[#This Row],[Team]],$A:$B,2,0),0)</f>
        <v>0</v>
      </c>
      <c r="I170">
        <f>IFERROR(VLOOKUP(WP_Calc[[#This Row],[Team]],$D:$E,2,0),0)</f>
        <v>0</v>
      </c>
      <c r="J170" s="6" t="str">
        <f>IFERROR(WP_Calc[[#This Row],[Wins]]/(WP_Calc[[#This Row],[Wins]]+WP_Calc[[#This Row],[Losses]]),"")</f>
        <v/>
      </c>
    </row>
    <row r="171" spans="7:10" x14ac:dyDescent="0.2">
      <c r="G171" s="3" t="str">
        <f t="array" ref="G171">IFERROR(IFERROR(INDEX($A$2:$A$300, MATCH(0, COUNTIF($G$1:G170,$A$2:$A$300 ), 0)), INDEX($D$2:$D$300, MATCH(0, COUNTIF($G$1:G170,$D$2:$D$300 ), 0))), "")</f>
        <v/>
      </c>
      <c r="H171">
        <f>IFERROR(VLOOKUP(WP_Calc[[#This Row],[Team]],$A:$B,2,0),0)</f>
        <v>0</v>
      </c>
      <c r="I171">
        <f>IFERROR(VLOOKUP(WP_Calc[[#This Row],[Team]],$D:$E,2,0),0)</f>
        <v>0</v>
      </c>
      <c r="J171" s="6" t="str">
        <f>IFERROR(WP_Calc[[#This Row],[Wins]]/(WP_Calc[[#This Row],[Wins]]+WP_Calc[[#This Row],[Losses]]),"")</f>
        <v/>
      </c>
    </row>
    <row r="172" spans="7:10" x14ac:dyDescent="0.2">
      <c r="G172" s="3" t="str">
        <f t="array" ref="G172">IFERROR(IFERROR(INDEX($A$2:$A$300, MATCH(0, COUNTIF($G$1:G171,$A$2:$A$300 ), 0)), INDEX($D$2:$D$300, MATCH(0, COUNTIF($G$1:G171,$D$2:$D$300 ), 0))), "")</f>
        <v/>
      </c>
      <c r="H172">
        <f>IFERROR(VLOOKUP(WP_Calc[[#This Row],[Team]],$A:$B,2,0),0)</f>
        <v>0</v>
      </c>
      <c r="I172">
        <f>IFERROR(VLOOKUP(WP_Calc[[#This Row],[Team]],$D:$E,2,0),0)</f>
        <v>0</v>
      </c>
      <c r="J172" s="6" t="str">
        <f>IFERROR(WP_Calc[[#This Row],[Wins]]/(WP_Calc[[#This Row],[Wins]]+WP_Calc[[#This Row],[Losses]]),"")</f>
        <v/>
      </c>
    </row>
    <row r="173" spans="7:10" x14ac:dyDescent="0.2">
      <c r="G173" s="3" t="str">
        <f t="array" ref="G173">IFERROR(IFERROR(INDEX($A$2:$A$300, MATCH(0, COUNTIF($G$1:G172,$A$2:$A$300 ), 0)), INDEX($D$2:$D$300, MATCH(0, COUNTIF($G$1:G172,$D$2:$D$300 ), 0))), "")</f>
        <v/>
      </c>
      <c r="H173">
        <f>IFERROR(VLOOKUP(WP_Calc[[#This Row],[Team]],$A:$B,2,0),0)</f>
        <v>0</v>
      </c>
      <c r="I173">
        <f>IFERROR(VLOOKUP(WP_Calc[[#This Row],[Team]],$D:$E,2,0),0)</f>
        <v>0</v>
      </c>
      <c r="J173" s="6" t="str">
        <f>IFERROR(WP_Calc[[#This Row],[Wins]]/(WP_Calc[[#This Row],[Wins]]+WP_Calc[[#This Row],[Losses]]),"")</f>
        <v/>
      </c>
    </row>
    <row r="174" spans="7:10" x14ac:dyDescent="0.2">
      <c r="G174" s="3" t="str">
        <f t="array" ref="G174">IFERROR(IFERROR(INDEX($A$2:$A$300, MATCH(0, COUNTIF($G$1:G173,$A$2:$A$300 ), 0)), INDEX($D$2:$D$300, MATCH(0, COUNTIF($G$1:G173,$D$2:$D$300 ), 0))), "")</f>
        <v/>
      </c>
      <c r="H174">
        <f>IFERROR(VLOOKUP(WP_Calc[[#This Row],[Team]],$A:$B,2,0),0)</f>
        <v>0</v>
      </c>
      <c r="I174">
        <f>IFERROR(VLOOKUP(WP_Calc[[#This Row],[Team]],$D:$E,2,0),0)</f>
        <v>0</v>
      </c>
      <c r="J174" s="6" t="str">
        <f>IFERROR(WP_Calc[[#This Row],[Wins]]/(WP_Calc[[#This Row],[Wins]]+WP_Calc[[#This Row],[Losses]]),"")</f>
        <v/>
      </c>
    </row>
    <row r="175" spans="7:10" x14ac:dyDescent="0.2">
      <c r="G175" s="3" t="str">
        <f t="array" ref="G175">IFERROR(IFERROR(INDEX($A$2:$A$300, MATCH(0, COUNTIF($G$1:G174,$A$2:$A$300 ), 0)), INDEX($D$2:$D$300, MATCH(0, COUNTIF($G$1:G174,$D$2:$D$300 ), 0))), "")</f>
        <v/>
      </c>
      <c r="H175">
        <f>IFERROR(VLOOKUP(WP_Calc[[#This Row],[Team]],$A:$B,2,0),0)</f>
        <v>0</v>
      </c>
      <c r="I175">
        <f>IFERROR(VLOOKUP(WP_Calc[[#This Row],[Team]],$D:$E,2,0),0)</f>
        <v>0</v>
      </c>
      <c r="J175" s="6" t="str">
        <f>IFERROR(WP_Calc[[#This Row],[Wins]]/(WP_Calc[[#This Row],[Wins]]+WP_Calc[[#This Row],[Losses]]),"")</f>
        <v/>
      </c>
    </row>
    <row r="176" spans="7:10" x14ac:dyDescent="0.2">
      <c r="G176" s="3" t="str">
        <f t="array" ref="G176">IFERROR(IFERROR(INDEX($A$2:$A$300, MATCH(0, COUNTIF($G$1:G175,$A$2:$A$300 ), 0)), INDEX($D$2:$D$300, MATCH(0, COUNTIF($G$1:G175,$D$2:$D$300 ), 0))), "")</f>
        <v/>
      </c>
      <c r="H176">
        <f>IFERROR(VLOOKUP(WP_Calc[[#This Row],[Team]],$A:$B,2,0),0)</f>
        <v>0</v>
      </c>
      <c r="I176">
        <f>IFERROR(VLOOKUP(WP_Calc[[#This Row],[Team]],$D:$E,2,0),0)</f>
        <v>0</v>
      </c>
      <c r="J176" s="6" t="str">
        <f>IFERROR(WP_Calc[[#This Row],[Wins]]/(WP_Calc[[#This Row],[Wins]]+WP_Calc[[#This Row],[Losses]]),"")</f>
        <v/>
      </c>
    </row>
    <row r="177" spans="7:10" x14ac:dyDescent="0.2">
      <c r="G177" s="3" t="str">
        <f t="array" ref="G177">IFERROR(IFERROR(INDEX($A$2:$A$300, MATCH(0, COUNTIF($G$1:G176,$A$2:$A$300 ), 0)), INDEX($D$2:$D$300, MATCH(0, COUNTIF($G$1:G176,$D$2:$D$300 ), 0))), "")</f>
        <v/>
      </c>
      <c r="H177">
        <f>IFERROR(VLOOKUP(WP_Calc[[#This Row],[Team]],$A:$B,2,0),0)</f>
        <v>0</v>
      </c>
      <c r="I177">
        <f>IFERROR(VLOOKUP(WP_Calc[[#This Row],[Team]],$D:$E,2,0),0)</f>
        <v>0</v>
      </c>
      <c r="J177" s="6" t="str">
        <f>IFERROR(WP_Calc[[#This Row],[Wins]]/(WP_Calc[[#This Row],[Wins]]+WP_Calc[[#This Row],[Losses]]),"")</f>
        <v/>
      </c>
    </row>
    <row r="178" spans="7:10" x14ac:dyDescent="0.2">
      <c r="G178" s="3" t="str">
        <f t="array" ref="G178">IFERROR(IFERROR(INDEX($A$2:$A$300, MATCH(0, COUNTIF($G$1:G177,$A$2:$A$300 ), 0)), INDEX($D$2:$D$300, MATCH(0, COUNTIF($G$1:G177,$D$2:$D$300 ), 0))), "")</f>
        <v/>
      </c>
      <c r="H178">
        <f>IFERROR(VLOOKUP(WP_Calc[[#This Row],[Team]],$A:$B,2,0),0)</f>
        <v>0</v>
      </c>
      <c r="I178">
        <f>IFERROR(VLOOKUP(WP_Calc[[#This Row],[Team]],$D:$E,2,0),0)</f>
        <v>0</v>
      </c>
      <c r="J178" s="6" t="str">
        <f>IFERROR(WP_Calc[[#This Row],[Wins]]/(WP_Calc[[#This Row],[Wins]]+WP_Calc[[#This Row],[Losses]]),"")</f>
        <v/>
      </c>
    </row>
    <row r="179" spans="7:10" x14ac:dyDescent="0.2">
      <c r="G179" s="3" t="str">
        <f t="array" ref="G179">IFERROR(IFERROR(INDEX($A$2:$A$300, MATCH(0, COUNTIF($G$1:G178,$A$2:$A$300 ), 0)), INDEX($D$2:$D$300, MATCH(0, COUNTIF($G$1:G178,$D$2:$D$300 ), 0))), "")</f>
        <v/>
      </c>
      <c r="H179">
        <f>IFERROR(VLOOKUP(WP_Calc[[#This Row],[Team]],$A:$B,2,0),0)</f>
        <v>0</v>
      </c>
      <c r="I179">
        <f>IFERROR(VLOOKUP(WP_Calc[[#This Row],[Team]],$D:$E,2,0),0)</f>
        <v>0</v>
      </c>
      <c r="J179" s="6" t="str">
        <f>IFERROR(WP_Calc[[#This Row],[Wins]]/(WP_Calc[[#This Row],[Wins]]+WP_Calc[[#This Row],[Losses]]),"")</f>
        <v/>
      </c>
    </row>
    <row r="180" spans="7:10" x14ac:dyDescent="0.2">
      <c r="G180" s="3" t="str">
        <f t="array" ref="G180">IFERROR(IFERROR(INDEX($A$2:$A$300, MATCH(0, COUNTIF($G$1:G179,$A$2:$A$300 ), 0)), INDEX($D$2:$D$300, MATCH(0, COUNTIF($G$1:G179,$D$2:$D$300 ), 0))), "")</f>
        <v/>
      </c>
      <c r="H180">
        <f>IFERROR(VLOOKUP(WP_Calc[[#This Row],[Team]],$A:$B,2,0),0)</f>
        <v>0</v>
      </c>
      <c r="I180">
        <f>IFERROR(VLOOKUP(WP_Calc[[#This Row],[Team]],$D:$E,2,0),0)</f>
        <v>0</v>
      </c>
      <c r="J180" s="6" t="str">
        <f>IFERROR(WP_Calc[[#This Row],[Wins]]/(WP_Calc[[#This Row],[Wins]]+WP_Calc[[#This Row],[Losses]]),"")</f>
        <v/>
      </c>
    </row>
    <row r="181" spans="7:10" x14ac:dyDescent="0.2">
      <c r="G181" s="3" t="str">
        <f t="array" ref="G181">IFERROR(IFERROR(INDEX($A$2:$A$300, MATCH(0, COUNTIF($G$1:G180,$A$2:$A$300 ), 0)), INDEX($D$2:$D$300, MATCH(0, COUNTIF($G$1:G180,$D$2:$D$300 ), 0))), "")</f>
        <v/>
      </c>
      <c r="H181">
        <f>IFERROR(VLOOKUP(WP_Calc[[#This Row],[Team]],$A:$B,2,0),0)</f>
        <v>0</v>
      </c>
      <c r="I181">
        <f>IFERROR(VLOOKUP(WP_Calc[[#This Row],[Team]],$D:$E,2,0),0)</f>
        <v>0</v>
      </c>
      <c r="J181" s="6" t="str">
        <f>IFERROR(WP_Calc[[#This Row],[Wins]]/(WP_Calc[[#This Row],[Wins]]+WP_Calc[[#This Row],[Losses]]),"")</f>
        <v/>
      </c>
    </row>
    <row r="182" spans="7:10" x14ac:dyDescent="0.2">
      <c r="G182" s="3" t="str">
        <f t="array" ref="G182">IFERROR(IFERROR(INDEX($A$2:$A$300, MATCH(0, COUNTIF($G$1:G181,$A$2:$A$300 ), 0)), INDEX($D$2:$D$300, MATCH(0, COUNTIF($G$1:G181,$D$2:$D$300 ), 0))), "")</f>
        <v/>
      </c>
      <c r="H182">
        <f>IFERROR(VLOOKUP(WP_Calc[[#This Row],[Team]],$A:$B,2,0),0)</f>
        <v>0</v>
      </c>
      <c r="I182">
        <f>IFERROR(VLOOKUP(WP_Calc[[#This Row],[Team]],$D:$E,2,0),0)</f>
        <v>0</v>
      </c>
      <c r="J182" s="6" t="str">
        <f>IFERROR(WP_Calc[[#This Row],[Wins]]/(WP_Calc[[#This Row],[Wins]]+WP_Calc[[#This Row],[Losses]]),"")</f>
        <v/>
      </c>
    </row>
    <row r="183" spans="7:10" x14ac:dyDescent="0.2">
      <c r="G183" s="3" t="str">
        <f t="array" ref="G183">IFERROR(IFERROR(INDEX($A$2:$A$300, MATCH(0, COUNTIF($G$1:G182,$A$2:$A$300 ), 0)), INDEX($D$2:$D$300, MATCH(0, COUNTIF($G$1:G182,$D$2:$D$300 ), 0))), "")</f>
        <v/>
      </c>
      <c r="H183">
        <f>IFERROR(VLOOKUP(WP_Calc[[#This Row],[Team]],$A:$B,2,0),0)</f>
        <v>0</v>
      </c>
      <c r="I183">
        <f>IFERROR(VLOOKUP(WP_Calc[[#This Row],[Team]],$D:$E,2,0),0)</f>
        <v>0</v>
      </c>
      <c r="J183" s="6" t="str">
        <f>IFERROR(WP_Calc[[#This Row],[Wins]]/(WP_Calc[[#This Row],[Wins]]+WP_Calc[[#This Row],[Losses]]),"")</f>
        <v/>
      </c>
    </row>
    <row r="184" spans="7:10" x14ac:dyDescent="0.2">
      <c r="G184" s="3" t="str">
        <f t="array" ref="G184">IFERROR(IFERROR(INDEX($A$2:$A$300, MATCH(0, COUNTIF($G$1:G183,$A$2:$A$300 ), 0)), INDEX($D$2:$D$300, MATCH(0, COUNTIF($G$1:G183,$D$2:$D$300 ), 0))), "")</f>
        <v/>
      </c>
      <c r="H184">
        <f>IFERROR(VLOOKUP(WP_Calc[[#This Row],[Team]],$A:$B,2,0),0)</f>
        <v>0</v>
      </c>
      <c r="I184">
        <f>IFERROR(VLOOKUP(WP_Calc[[#This Row],[Team]],$D:$E,2,0),0)</f>
        <v>0</v>
      </c>
      <c r="J184" s="6" t="str">
        <f>IFERROR(WP_Calc[[#This Row],[Wins]]/(WP_Calc[[#This Row],[Wins]]+WP_Calc[[#This Row],[Losses]]),"")</f>
        <v/>
      </c>
    </row>
    <row r="185" spans="7:10" x14ac:dyDescent="0.2">
      <c r="G185" s="3" t="str">
        <f t="array" ref="G185">IFERROR(IFERROR(INDEX($A$2:$A$300, MATCH(0, COUNTIF($G$1:G184,$A$2:$A$300 ), 0)), INDEX($D$2:$D$300, MATCH(0, COUNTIF($G$1:G184,$D$2:$D$300 ), 0))), "")</f>
        <v/>
      </c>
      <c r="H185">
        <f>IFERROR(VLOOKUP(WP_Calc[[#This Row],[Team]],$A:$B,2,0),0)</f>
        <v>0</v>
      </c>
      <c r="I185">
        <f>IFERROR(VLOOKUP(WP_Calc[[#This Row],[Team]],$D:$E,2,0),0)</f>
        <v>0</v>
      </c>
      <c r="J185" s="6" t="str">
        <f>IFERROR(WP_Calc[[#This Row],[Wins]]/(WP_Calc[[#This Row],[Wins]]+WP_Calc[[#This Row],[Losses]]),"")</f>
        <v/>
      </c>
    </row>
    <row r="186" spans="7:10" x14ac:dyDescent="0.2">
      <c r="G186" s="3" t="str">
        <f t="array" ref="G186">IFERROR(IFERROR(INDEX($A$2:$A$300, MATCH(0, COUNTIF($G$1:G185,$A$2:$A$300 ), 0)), INDEX($D$2:$D$300, MATCH(0, COUNTIF($G$1:G185,$D$2:$D$300 ), 0))), "")</f>
        <v/>
      </c>
      <c r="H186">
        <f>IFERROR(VLOOKUP(WP_Calc[[#This Row],[Team]],$A:$B,2,0),0)</f>
        <v>0</v>
      </c>
      <c r="I186">
        <f>IFERROR(VLOOKUP(WP_Calc[[#This Row],[Team]],$D:$E,2,0),0)</f>
        <v>0</v>
      </c>
      <c r="J186" s="6" t="str">
        <f>IFERROR(WP_Calc[[#This Row],[Wins]]/(WP_Calc[[#This Row],[Wins]]+WP_Calc[[#This Row],[Losses]]),"")</f>
        <v/>
      </c>
    </row>
    <row r="187" spans="7:10" x14ac:dyDescent="0.2">
      <c r="G187" s="3" t="str">
        <f t="array" ref="G187">IFERROR(IFERROR(INDEX($A$2:$A$300, MATCH(0, COUNTIF($G$1:G186,$A$2:$A$300 ), 0)), INDEX($D$2:$D$300, MATCH(0, COUNTIF($G$1:G186,$D$2:$D$300 ), 0))), "")</f>
        <v/>
      </c>
      <c r="H187">
        <f>IFERROR(VLOOKUP(WP_Calc[[#This Row],[Team]],$A:$B,2,0),0)</f>
        <v>0</v>
      </c>
      <c r="I187">
        <f>IFERROR(VLOOKUP(WP_Calc[[#This Row],[Team]],$D:$E,2,0),0)</f>
        <v>0</v>
      </c>
      <c r="J187" s="6" t="str">
        <f>IFERROR(WP_Calc[[#This Row],[Wins]]/(WP_Calc[[#This Row],[Wins]]+WP_Calc[[#This Row],[Losses]]),"")</f>
        <v/>
      </c>
    </row>
    <row r="188" spans="7:10" x14ac:dyDescent="0.2">
      <c r="G188" s="3" t="str">
        <f t="array" ref="G188">IFERROR(IFERROR(INDEX($A$2:$A$300, MATCH(0, COUNTIF($G$1:G187,$A$2:$A$300 ), 0)), INDEX($D$2:$D$300, MATCH(0, COUNTIF($G$1:G187,$D$2:$D$300 ), 0))), "")</f>
        <v/>
      </c>
      <c r="H188">
        <f>IFERROR(VLOOKUP(WP_Calc[[#This Row],[Team]],$A:$B,2,0),0)</f>
        <v>0</v>
      </c>
      <c r="I188">
        <f>IFERROR(VLOOKUP(WP_Calc[[#This Row],[Team]],$D:$E,2,0),0)</f>
        <v>0</v>
      </c>
      <c r="J188" s="6" t="str">
        <f>IFERROR(WP_Calc[[#This Row],[Wins]]/(WP_Calc[[#This Row],[Wins]]+WP_Calc[[#This Row],[Losses]]),"")</f>
        <v/>
      </c>
    </row>
    <row r="189" spans="7:10" x14ac:dyDescent="0.2">
      <c r="G189" s="3" t="str">
        <f t="array" ref="G189">IFERROR(IFERROR(INDEX($A$2:$A$300, MATCH(0, COUNTIF($G$1:G188,$A$2:$A$300 ), 0)), INDEX($D$2:$D$300, MATCH(0, COUNTIF($G$1:G188,$D$2:$D$300 ), 0))), "")</f>
        <v/>
      </c>
      <c r="H189">
        <f>IFERROR(VLOOKUP(WP_Calc[[#This Row],[Team]],$A:$B,2,0),0)</f>
        <v>0</v>
      </c>
      <c r="I189">
        <f>IFERROR(VLOOKUP(WP_Calc[[#This Row],[Team]],$D:$E,2,0),0)</f>
        <v>0</v>
      </c>
      <c r="J189" s="6" t="str">
        <f>IFERROR(WP_Calc[[#This Row],[Wins]]/(WP_Calc[[#This Row],[Wins]]+WP_Calc[[#This Row],[Losses]]),"")</f>
        <v/>
      </c>
    </row>
    <row r="190" spans="7:10" x14ac:dyDescent="0.2">
      <c r="G190" s="3" t="str">
        <f t="array" ref="G190">IFERROR(IFERROR(INDEX($A$2:$A$300, MATCH(0, COUNTIF($G$1:G189,$A$2:$A$300 ), 0)), INDEX($D$2:$D$300, MATCH(0, COUNTIF($G$1:G189,$D$2:$D$300 ), 0))), "")</f>
        <v/>
      </c>
      <c r="H190">
        <f>IFERROR(VLOOKUP(WP_Calc[[#This Row],[Team]],$A:$B,2,0),0)</f>
        <v>0</v>
      </c>
      <c r="I190">
        <f>IFERROR(VLOOKUP(WP_Calc[[#This Row],[Team]],$D:$E,2,0),0)</f>
        <v>0</v>
      </c>
      <c r="J190" s="6" t="str">
        <f>IFERROR(WP_Calc[[#This Row],[Wins]]/(WP_Calc[[#This Row],[Wins]]+WP_Calc[[#This Row],[Losses]]),"")</f>
        <v/>
      </c>
    </row>
    <row r="191" spans="7:10" x14ac:dyDescent="0.2">
      <c r="G191" s="3" t="str">
        <f t="array" ref="G191">IFERROR(IFERROR(INDEX($A$2:$A$300, MATCH(0, COUNTIF($G$1:G190,$A$2:$A$300 ), 0)), INDEX($D$2:$D$300, MATCH(0, COUNTIF($G$1:G190,$D$2:$D$300 ), 0))), "")</f>
        <v/>
      </c>
      <c r="H191">
        <f>IFERROR(VLOOKUP(WP_Calc[[#This Row],[Team]],$A:$B,2,0),0)</f>
        <v>0</v>
      </c>
      <c r="I191">
        <f>IFERROR(VLOOKUP(WP_Calc[[#This Row],[Team]],$D:$E,2,0),0)</f>
        <v>0</v>
      </c>
      <c r="J191" s="6" t="str">
        <f>IFERROR(WP_Calc[[#This Row],[Wins]]/(WP_Calc[[#This Row],[Wins]]+WP_Calc[[#This Row],[Losses]]),"")</f>
        <v/>
      </c>
    </row>
    <row r="192" spans="7:10" x14ac:dyDescent="0.2">
      <c r="G192" s="3" t="str">
        <f t="array" ref="G192">IFERROR(IFERROR(INDEX($A$2:$A$300, MATCH(0, COUNTIF($G$1:G191,$A$2:$A$300 ), 0)), INDEX($D$2:$D$300, MATCH(0, COUNTIF($G$1:G191,$D$2:$D$300 ), 0))), "")</f>
        <v/>
      </c>
      <c r="H192">
        <f>IFERROR(VLOOKUP(WP_Calc[[#This Row],[Team]],$A:$B,2,0),0)</f>
        <v>0</v>
      </c>
      <c r="I192">
        <f>IFERROR(VLOOKUP(WP_Calc[[#This Row],[Team]],$D:$E,2,0),0)</f>
        <v>0</v>
      </c>
      <c r="J192" s="6" t="str">
        <f>IFERROR(WP_Calc[[#This Row],[Wins]]/(WP_Calc[[#This Row],[Wins]]+WP_Calc[[#This Row],[Losses]]),"")</f>
        <v/>
      </c>
    </row>
    <row r="193" spans="7:10" x14ac:dyDescent="0.2">
      <c r="G193" s="3" t="str">
        <f t="array" ref="G193">IFERROR(IFERROR(INDEX($A$2:$A$300, MATCH(0, COUNTIF($G$1:G192,$A$2:$A$300 ), 0)), INDEX($D$2:$D$300, MATCH(0, COUNTIF($G$1:G192,$D$2:$D$300 ), 0))), "")</f>
        <v/>
      </c>
      <c r="H193">
        <f>IFERROR(VLOOKUP(WP_Calc[[#This Row],[Team]],$A:$B,2,0),0)</f>
        <v>0</v>
      </c>
      <c r="I193">
        <f>IFERROR(VLOOKUP(WP_Calc[[#This Row],[Team]],$D:$E,2,0),0)</f>
        <v>0</v>
      </c>
      <c r="J193" s="6" t="str">
        <f>IFERROR(WP_Calc[[#This Row],[Wins]]/(WP_Calc[[#This Row],[Wins]]+WP_Calc[[#This Row],[Losses]]),"")</f>
        <v/>
      </c>
    </row>
    <row r="194" spans="7:10" x14ac:dyDescent="0.2">
      <c r="G194" s="3" t="str">
        <f t="array" ref="G194">IFERROR(IFERROR(INDEX($A$2:$A$300, MATCH(0, COUNTIF($G$1:G193,$A$2:$A$300 ), 0)), INDEX($D$2:$D$300, MATCH(0, COUNTIF($G$1:G193,$D$2:$D$300 ), 0))), "")</f>
        <v/>
      </c>
      <c r="H194">
        <f>IFERROR(VLOOKUP(WP_Calc[[#This Row],[Team]],$A:$B,2,0),0)</f>
        <v>0</v>
      </c>
      <c r="I194">
        <f>IFERROR(VLOOKUP(WP_Calc[[#This Row],[Team]],$D:$E,2,0),0)</f>
        <v>0</v>
      </c>
      <c r="J194" s="6" t="str">
        <f>IFERROR(WP_Calc[[#This Row],[Wins]]/(WP_Calc[[#This Row],[Wins]]+WP_Calc[[#This Row],[Losses]]),"")</f>
        <v/>
      </c>
    </row>
    <row r="195" spans="7:10" x14ac:dyDescent="0.2">
      <c r="G195" s="3" t="str">
        <f t="array" ref="G195">IFERROR(IFERROR(INDEX($A$2:$A$300, MATCH(0, COUNTIF($G$1:G194,$A$2:$A$300 ), 0)), INDEX($D$2:$D$300, MATCH(0, COUNTIF($G$1:G194,$D$2:$D$300 ), 0))), "")</f>
        <v/>
      </c>
      <c r="H195">
        <f>IFERROR(VLOOKUP(WP_Calc[[#This Row],[Team]],$A:$B,2,0),0)</f>
        <v>0</v>
      </c>
      <c r="I195">
        <f>IFERROR(VLOOKUP(WP_Calc[[#This Row],[Team]],$D:$E,2,0),0)</f>
        <v>0</v>
      </c>
      <c r="J195" s="6" t="str">
        <f>IFERROR(WP_Calc[[#This Row],[Wins]]/(WP_Calc[[#This Row],[Wins]]+WP_Calc[[#This Row],[Losses]]),"")</f>
        <v/>
      </c>
    </row>
    <row r="196" spans="7:10" x14ac:dyDescent="0.2">
      <c r="G196" s="3" t="str">
        <f t="array" ref="G196">IFERROR(IFERROR(INDEX($A$2:$A$300, MATCH(0, COUNTIF($G$1:G195,$A$2:$A$300 ), 0)), INDEX($D$2:$D$300, MATCH(0, COUNTIF($G$1:G195,$D$2:$D$300 ), 0))), "")</f>
        <v/>
      </c>
      <c r="H196">
        <f>IFERROR(VLOOKUP(WP_Calc[[#This Row],[Team]],$A:$B,2,0),0)</f>
        <v>0</v>
      </c>
      <c r="I196">
        <f>IFERROR(VLOOKUP(WP_Calc[[#This Row],[Team]],$D:$E,2,0),0)</f>
        <v>0</v>
      </c>
      <c r="J196" s="6" t="str">
        <f>IFERROR(WP_Calc[[#This Row],[Wins]]/(WP_Calc[[#This Row],[Wins]]+WP_Calc[[#This Row],[Losses]]),"")</f>
        <v/>
      </c>
    </row>
    <row r="197" spans="7:10" x14ac:dyDescent="0.2">
      <c r="G197" s="3" t="str">
        <f t="array" ref="G197">IFERROR(IFERROR(INDEX($A$2:$A$300, MATCH(0, COUNTIF($G$1:G196,$A$2:$A$300 ), 0)), INDEX($D$2:$D$300, MATCH(0, COUNTIF($G$1:G196,$D$2:$D$300 ), 0))), "")</f>
        <v/>
      </c>
      <c r="H197">
        <f>IFERROR(VLOOKUP(WP_Calc[[#This Row],[Team]],$A:$B,2,0),0)</f>
        <v>0</v>
      </c>
      <c r="I197">
        <f>IFERROR(VLOOKUP(WP_Calc[[#This Row],[Team]],$D:$E,2,0),0)</f>
        <v>0</v>
      </c>
      <c r="J197" s="6" t="str">
        <f>IFERROR(WP_Calc[[#This Row],[Wins]]/(WP_Calc[[#This Row],[Wins]]+WP_Calc[[#This Row],[Losses]]),"")</f>
        <v/>
      </c>
    </row>
    <row r="198" spans="7:10" x14ac:dyDescent="0.2">
      <c r="G198" s="3" t="str">
        <f t="array" ref="G198">IFERROR(IFERROR(INDEX($A$2:$A$300, MATCH(0, COUNTIF($G$1:G197,$A$2:$A$300 ), 0)), INDEX($D$2:$D$300, MATCH(0, COUNTIF($G$1:G197,$D$2:$D$300 ), 0))), "")</f>
        <v/>
      </c>
      <c r="H198">
        <f>IFERROR(VLOOKUP(WP_Calc[[#This Row],[Team]],$A:$B,2,0),0)</f>
        <v>0</v>
      </c>
      <c r="I198">
        <f>IFERROR(VLOOKUP(WP_Calc[[#This Row],[Team]],$D:$E,2,0),0)</f>
        <v>0</v>
      </c>
      <c r="J198" s="6" t="str">
        <f>IFERROR(WP_Calc[[#This Row],[Wins]]/(WP_Calc[[#This Row],[Wins]]+WP_Calc[[#This Row],[Losses]]),"")</f>
        <v/>
      </c>
    </row>
    <row r="199" spans="7:10" x14ac:dyDescent="0.2">
      <c r="G199" s="3" t="str">
        <f t="array" ref="G199">IFERROR(IFERROR(INDEX($A$2:$A$300, MATCH(0, COUNTIF($G$1:G198,$A$2:$A$300 ), 0)), INDEX($D$2:$D$300, MATCH(0, COUNTIF($G$1:G198,$D$2:$D$300 ), 0))), "")</f>
        <v/>
      </c>
      <c r="H199">
        <f>IFERROR(VLOOKUP(WP_Calc[[#This Row],[Team]],$A:$B,2,0),0)</f>
        <v>0</v>
      </c>
      <c r="I199">
        <f>IFERROR(VLOOKUP(WP_Calc[[#This Row],[Team]],$D:$E,2,0),0)</f>
        <v>0</v>
      </c>
      <c r="J199" s="6" t="str">
        <f>IFERROR(WP_Calc[[#This Row],[Wins]]/(WP_Calc[[#This Row],[Wins]]+WP_Calc[[#This Row],[Losses]]),"")</f>
        <v/>
      </c>
    </row>
    <row r="200" spans="7:10" x14ac:dyDescent="0.2">
      <c r="G200" s="3" t="str">
        <f t="array" ref="G200">IFERROR(IFERROR(INDEX($A$2:$A$300, MATCH(0, COUNTIF($G$1:G199,$A$2:$A$300 ), 0)), INDEX($D$2:$D$300, MATCH(0, COUNTIF($G$1:G199,$D$2:$D$300 ), 0))), "")</f>
        <v/>
      </c>
      <c r="H200">
        <f>IFERROR(VLOOKUP(WP_Calc[[#This Row],[Team]],$A:$B,2,0),0)</f>
        <v>0</v>
      </c>
      <c r="I200">
        <f>IFERROR(VLOOKUP(WP_Calc[[#This Row],[Team]],$D:$E,2,0),0)</f>
        <v>0</v>
      </c>
      <c r="J200" s="6" t="str">
        <f>IFERROR(WP_Calc[[#This Row],[Wins]]/(WP_Calc[[#This Row],[Wins]]+WP_Calc[[#This Row],[Losses]]),"")</f>
        <v/>
      </c>
    </row>
    <row r="201" spans="7:10" x14ac:dyDescent="0.2">
      <c r="G201" s="3" t="str">
        <f t="array" ref="G201">IFERROR(IFERROR(INDEX($A$2:$A$300, MATCH(0, COUNTIF($G$1:G200,$A$2:$A$300 ), 0)), INDEX($D$2:$D$300, MATCH(0, COUNTIF($G$1:G200,$D$2:$D$300 ), 0))), "")</f>
        <v/>
      </c>
      <c r="H201">
        <f>IFERROR(VLOOKUP(WP_Calc[[#This Row],[Team]],$A:$B,2,0),0)</f>
        <v>0</v>
      </c>
      <c r="I201">
        <f>IFERROR(VLOOKUP(WP_Calc[[#This Row],[Team]],$D:$E,2,0),0)</f>
        <v>0</v>
      </c>
      <c r="J201" s="6" t="str">
        <f>IFERROR(WP_Calc[[#This Row],[Wins]]/(WP_Calc[[#This Row],[Wins]]+WP_Calc[[#This Row],[Losses]]),"")</f>
        <v/>
      </c>
    </row>
    <row r="202" spans="7:10" x14ac:dyDescent="0.2">
      <c r="G202" s="3" t="str">
        <f t="array" ref="G202">IFERROR(IFERROR(INDEX($A$2:$A$300, MATCH(0, COUNTIF($G$1:G201,$A$2:$A$300 ), 0)), INDEX($D$2:$D$300, MATCH(0, COUNTIF($G$1:G201,$D$2:$D$300 ), 0))), "")</f>
        <v/>
      </c>
      <c r="H202">
        <f>IFERROR(VLOOKUP(WP_Calc[[#This Row],[Team]],$A:$B,2,0),0)</f>
        <v>0</v>
      </c>
      <c r="I202">
        <f>IFERROR(VLOOKUP(WP_Calc[[#This Row],[Team]],$D:$E,2,0),0)</f>
        <v>0</v>
      </c>
      <c r="J202" s="6" t="str">
        <f>IFERROR(WP_Calc[[#This Row],[Wins]]/(WP_Calc[[#This Row],[Wins]]+WP_Calc[[#This Row],[Losses]]),"")</f>
        <v/>
      </c>
    </row>
    <row r="203" spans="7:10" x14ac:dyDescent="0.2">
      <c r="G203" s="3" t="str">
        <f t="array" ref="G203">IFERROR(IFERROR(INDEX($A$2:$A$300, MATCH(0, COUNTIF($G$1:G202,$A$2:$A$300 ), 0)), INDEX($D$2:$D$300, MATCH(0, COUNTIF($G$1:G202,$D$2:$D$300 ), 0))), "")</f>
        <v/>
      </c>
      <c r="H203">
        <f>IFERROR(VLOOKUP(WP_Calc[[#This Row],[Team]],$A:$B,2,0),0)</f>
        <v>0</v>
      </c>
      <c r="I203">
        <f>IFERROR(VLOOKUP(WP_Calc[[#This Row],[Team]],$D:$E,2,0),0)</f>
        <v>0</v>
      </c>
      <c r="J203" s="6" t="str">
        <f>IFERROR(WP_Calc[[#This Row],[Wins]]/(WP_Calc[[#This Row],[Wins]]+WP_Calc[[#This Row],[Losses]]),"")</f>
        <v/>
      </c>
    </row>
    <row r="204" spans="7:10" x14ac:dyDescent="0.2">
      <c r="G204" s="3" t="str">
        <f t="array" ref="G204">IFERROR(IFERROR(INDEX($A$2:$A$300, MATCH(0, COUNTIF($G$1:G203,$A$2:$A$300 ), 0)), INDEX($D$2:$D$300, MATCH(0, COUNTIF($G$1:G203,$D$2:$D$300 ), 0))), "")</f>
        <v/>
      </c>
      <c r="H204">
        <f>IFERROR(VLOOKUP(WP_Calc[[#This Row],[Team]],$A:$B,2,0),0)</f>
        <v>0</v>
      </c>
      <c r="I204">
        <f>IFERROR(VLOOKUP(WP_Calc[[#This Row],[Team]],$D:$E,2,0),0)</f>
        <v>0</v>
      </c>
      <c r="J204" s="6" t="str">
        <f>IFERROR(WP_Calc[[#This Row],[Wins]]/(WP_Calc[[#This Row],[Wins]]+WP_Calc[[#This Row],[Losses]]),"")</f>
        <v/>
      </c>
    </row>
    <row r="205" spans="7:10" x14ac:dyDescent="0.2">
      <c r="G205" s="3" t="str">
        <f t="array" ref="G205">IFERROR(IFERROR(INDEX($A$2:$A$300, MATCH(0, COUNTIF($G$1:G204,$A$2:$A$300 ), 0)), INDEX($D$2:$D$300, MATCH(0, COUNTIF($G$1:G204,$D$2:$D$300 ), 0))), "")</f>
        <v/>
      </c>
      <c r="H205">
        <f>IFERROR(VLOOKUP(WP_Calc[[#This Row],[Team]],$A:$B,2,0),0)</f>
        <v>0</v>
      </c>
      <c r="I205">
        <f>IFERROR(VLOOKUP(WP_Calc[[#This Row],[Team]],$D:$E,2,0),0)</f>
        <v>0</v>
      </c>
      <c r="J205" s="6" t="str">
        <f>IFERROR(WP_Calc[[#This Row],[Wins]]/(WP_Calc[[#This Row],[Wins]]+WP_Calc[[#This Row],[Losses]]),"")</f>
        <v/>
      </c>
    </row>
    <row r="206" spans="7:10" x14ac:dyDescent="0.2">
      <c r="G206" s="3" t="str">
        <f t="array" ref="G206">IFERROR(IFERROR(INDEX($A$2:$A$300, MATCH(0, COUNTIF($G$1:G205,$A$2:$A$300 ), 0)), INDEX($D$2:$D$300, MATCH(0, COUNTIF($G$1:G205,$D$2:$D$300 ), 0))), "")</f>
        <v/>
      </c>
      <c r="H206">
        <f>IFERROR(VLOOKUP(WP_Calc[[#This Row],[Team]],$A:$B,2,0),0)</f>
        <v>0</v>
      </c>
      <c r="I206">
        <f>IFERROR(VLOOKUP(WP_Calc[[#This Row],[Team]],$D:$E,2,0),0)</f>
        <v>0</v>
      </c>
      <c r="J206" s="6" t="str">
        <f>IFERROR(WP_Calc[[#This Row],[Wins]]/(WP_Calc[[#This Row],[Wins]]+WP_Calc[[#This Row],[Losses]]),"")</f>
        <v/>
      </c>
    </row>
    <row r="207" spans="7:10" x14ac:dyDescent="0.2">
      <c r="G207" s="3" t="str">
        <f t="array" ref="G207">IFERROR(IFERROR(INDEX($A$2:$A$300, MATCH(0, COUNTIF($G$1:G206,$A$2:$A$300 ), 0)), INDEX($D$2:$D$300, MATCH(0, COUNTIF($G$1:G206,$D$2:$D$300 ), 0))), "")</f>
        <v/>
      </c>
      <c r="H207">
        <f>IFERROR(VLOOKUP(WP_Calc[[#This Row],[Team]],$A:$B,2,0),0)</f>
        <v>0</v>
      </c>
      <c r="I207">
        <f>IFERROR(VLOOKUP(WP_Calc[[#This Row],[Team]],$D:$E,2,0),0)</f>
        <v>0</v>
      </c>
      <c r="J207" s="6" t="str">
        <f>IFERROR(WP_Calc[[#This Row],[Wins]]/(WP_Calc[[#This Row],[Wins]]+WP_Calc[[#This Row],[Losses]]),"")</f>
        <v/>
      </c>
    </row>
    <row r="208" spans="7:10" x14ac:dyDescent="0.2">
      <c r="G208" s="3" t="str">
        <f t="array" ref="G208">IFERROR(IFERROR(INDEX($A$2:$A$300, MATCH(0, COUNTIF($G$1:G207,$A$2:$A$300 ), 0)), INDEX($D$2:$D$300, MATCH(0, COUNTIF($G$1:G207,$D$2:$D$300 ), 0))), "")</f>
        <v/>
      </c>
      <c r="H208">
        <f>IFERROR(VLOOKUP(WP_Calc[[#This Row],[Team]],$A:$B,2,0),0)</f>
        <v>0</v>
      </c>
      <c r="I208">
        <f>IFERROR(VLOOKUP(WP_Calc[[#This Row],[Team]],$D:$E,2,0),0)</f>
        <v>0</v>
      </c>
      <c r="J208" s="6" t="str">
        <f>IFERROR(WP_Calc[[#This Row],[Wins]]/(WP_Calc[[#This Row],[Wins]]+WP_Calc[[#This Row],[Losses]]),"")</f>
        <v/>
      </c>
    </row>
    <row r="209" spans="7:10" x14ac:dyDescent="0.2">
      <c r="G209" s="3" t="str">
        <f t="array" ref="G209">IFERROR(IFERROR(INDEX($A$2:$A$300, MATCH(0, COUNTIF($G$1:G208,$A$2:$A$300 ), 0)), INDEX($D$2:$D$300, MATCH(0, COUNTIF($G$1:G208,$D$2:$D$300 ), 0))), "")</f>
        <v/>
      </c>
      <c r="H209">
        <f>IFERROR(VLOOKUP(WP_Calc[[#This Row],[Team]],$A:$B,2,0),0)</f>
        <v>0</v>
      </c>
      <c r="I209">
        <f>IFERROR(VLOOKUP(WP_Calc[[#This Row],[Team]],$D:$E,2,0),0)</f>
        <v>0</v>
      </c>
      <c r="J209" s="6" t="str">
        <f>IFERROR(WP_Calc[[#This Row],[Wins]]/(WP_Calc[[#This Row],[Wins]]+WP_Calc[[#This Row],[Losses]]),"")</f>
        <v/>
      </c>
    </row>
    <row r="210" spans="7:10" x14ac:dyDescent="0.2">
      <c r="G210" s="3" t="str">
        <f t="array" ref="G210">IFERROR(IFERROR(INDEX($A$2:$A$300, MATCH(0, COUNTIF($G$1:G209,$A$2:$A$300 ), 0)), INDEX($D$2:$D$300, MATCH(0, COUNTIF($G$1:G209,$D$2:$D$300 ), 0))), "")</f>
        <v/>
      </c>
      <c r="H210">
        <f>IFERROR(VLOOKUP(WP_Calc[[#This Row],[Team]],$A:$B,2,0),0)</f>
        <v>0</v>
      </c>
      <c r="I210">
        <f>IFERROR(VLOOKUP(WP_Calc[[#This Row],[Team]],$D:$E,2,0),0)</f>
        <v>0</v>
      </c>
      <c r="J210" s="6" t="str">
        <f>IFERROR(WP_Calc[[#This Row],[Wins]]/(WP_Calc[[#This Row],[Wins]]+WP_Calc[[#This Row],[Losses]]),"")</f>
        <v/>
      </c>
    </row>
    <row r="211" spans="7:10" x14ac:dyDescent="0.2">
      <c r="G211" s="3" t="str">
        <f t="array" ref="G211">IFERROR(IFERROR(INDEX($A$2:$A$300, MATCH(0, COUNTIF($G$1:G210,$A$2:$A$300 ), 0)), INDEX($D$2:$D$300, MATCH(0, COUNTIF($G$1:G210,$D$2:$D$300 ), 0))), "")</f>
        <v/>
      </c>
      <c r="H211">
        <f>IFERROR(VLOOKUP(WP_Calc[[#This Row],[Team]],$A:$B,2,0),0)</f>
        <v>0</v>
      </c>
      <c r="I211">
        <f>IFERROR(VLOOKUP(WP_Calc[[#This Row],[Team]],$D:$E,2,0),0)</f>
        <v>0</v>
      </c>
      <c r="J211" s="6" t="str">
        <f>IFERROR(WP_Calc[[#This Row],[Wins]]/(WP_Calc[[#This Row],[Wins]]+WP_Calc[[#This Row],[Losses]]),"")</f>
        <v/>
      </c>
    </row>
    <row r="212" spans="7:10" x14ac:dyDescent="0.2">
      <c r="G212" s="3" t="str">
        <f t="array" ref="G212">IFERROR(IFERROR(INDEX($A$2:$A$300, MATCH(0, COUNTIF($G$1:G211,$A$2:$A$300 ), 0)), INDEX($D$2:$D$300, MATCH(0, COUNTIF($G$1:G211,$D$2:$D$300 ), 0))), "")</f>
        <v/>
      </c>
      <c r="H212">
        <f>IFERROR(VLOOKUP(WP_Calc[[#This Row],[Team]],$A:$B,2,0),0)</f>
        <v>0</v>
      </c>
      <c r="I212">
        <f>IFERROR(VLOOKUP(WP_Calc[[#This Row],[Team]],$D:$E,2,0),0)</f>
        <v>0</v>
      </c>
      <c r="J212" s="6" t="str">
        <f>IFERROR(WP_Calc[[#This Row],[Wins]]/(WP_Calc[[#This Row],[Wins]]+WP_Calc[[#This Row],[Losses]]),"")</f>
        <v/>
      </c>
    </row>
    <row r="213" spans="7:10" x14ac:dyDescent="0.2">
      <c r="G213" s="3" t="str">
        <f t="array" ref="G213">IFERROR(IFERROR(INDEX($A$2:$A$300, MATCH(0, COUNTIF($G$1:G212,$A$2:$A$300 ), 0)), INDEX($D$2:$D$300, MATCH(0, COUNTIF($G$1:G212,$D$2:$D$300 ), 0))), "")</f>
        <v/>
      </c>
      <c r="H213">
        <f>IFERROR(VLOOKUP(WP_Calc[[#This Row],[Team]],$A:$B,2,0),0)</f>
        <v>0</v>
      </c>
      <c r="I213">
        <f>IFERROR(VLOOKUP(WP_Calc[[#This Row],[Team]],$D:$E,2,0),0)</f>
        <v>0</v>
      </c>
      <c r="J213" s="6" t="str">
        <f>IFERROR(WP_Calc[[#This Row],[Wins]]/(WP_Calc[[#This Row],[Wins]]+WP_Calc[[#This Row],[Losses]]),"")</f>
        <v/>
      </c>
    </row>
    <row r="214" spans="7:10" x14ac:dyDescent="0.2">
      <c r="G214" s="3" t="str">
        <f t="array" ref="G214">IFERROR(IFERROR(INDEX($A$2:$A$300, MATCH(0, COUNTIF($G$1:G213,$A$2:$A$300 ), 0)), INDEX($D$2:$D$300, MATCH(0, COUNTIF($G$1:G213,$D$2:$D$300 ), 0))), "")</f>
        <v/>
      </c>
      <c r="H214">
        <f>IFERROR(VLOOKUP(WP_Calc[[#This Row],[Team]],$A:$B,2,0),0)</f>
        <v>0</v>
      </c>
      <c r="I214">
        <f>IFERROR(VLOOKUP(WP_Calc[[#This Row],[Team]],$D:$E,2,0),0)</f>
        <v>0</v>
      </c>
      <c r="J214" s="6" t="str">
        <f>IFERROR(WP_Calc[[#This Row],[Wins]]/(WP_Calc[[#This Row],[Wins]]+WP_Calc[[#This Row],[Losses]]),"")</f>
        <v/>
      </c>
    </row>
    <row r="215" spans="7:10" x14ac:dyDescent="0.2">
      <c r="G215" s="3" t="str">
        <f t="array" ref="G215">IFERROR(IFERROR(INDEX($A$2:$A$300, MATCH(0, COUNTIF($G$1:G214,$A$2:$A$300 ), 0)), INDEX($D$2:$D$300, MATCH(0, COUNTIF($G$1:G214,$D$2:$D$300 ), 0))), "")</f>
        <v/>
      </c>
      <c r="H215">
        <f>IFERROR(VLOOKUP(WP_Calc[[#This Row],[Team]],$A:$B,2,0),0)</f>
        <v>0</v>
      </c>
      <c r="I215">
        <f>IFERROR(VLOOKUP(WP_Calc[[#This Row],[Team]],$D:$E,2,0),0)</f>
        <v>0</v>
      </c>
      <c r="J215" s="6" t="str">
        <f>IFERROR(WP_Calc[[#This Row],[Wins]]/(WP_Calc[[#This Row],[Wins]]+WP_Calc[[#This Row],[Losses]]),"")</f>
        <v/>
      </c>
    </row>
    <row r="216" spans="7:10" x14ac:dyDescent="0.2">
      <c r="G216" s="3" t="str">
        <f t="array" ref="G216">IFERROR(IFERROR(INDEX($A$2:$A$300, MATCH(0, COUNTIF($G$1:G215,$A$2:$A$300 ), 0)), INDEX($D$2:$D$300, MATCH(0, COUNTIF($G$1:G215,$D$2:$D$300 ), 0))), "")</f>
        <v/>
      </c>
      <c r="H216">
        <f>IFERROR(VLOOKUP(WP_Calc[[#This Row],[Team]],$A:$B,2,0),0)</f>
        <v>0</v>
      </c>
      <c r="I216">
        <f>IFERROR(VLOOKUP(WP_Calc[[#This Row],[Team]],$D:$E,2,0),0)</f>
        <v>0</v>
      </c>
      <c r="J216" s="6" t="str">
        <f>IFERROR(WP_Calc[[#This Row],[Wins]]/(WP_Calc[[#This Row],[Wins]]+WP_Calc[[#This Row],[Losses]]),"")</f>
        <v/>
      </c>
    </row>
    <row r="217" spans="7:10" x14ac:dyDescent="0.2">
      <c r="G217" s="3" t="str">
        <f t="array" ref="G217">IFERROR(IFERROR(INDEX($A$2:$A$300, MATCH(0, COUNTIF($G$1:G216,$A$2:$A$300 ), 0)), INDEX($D$2:$D$300, MATCH(0, COUNTIF($G$1:G216,$D$2:$D$300 ), 0))), "")</f>
        <v/>
      </c>
      <c r="H217">
        <f>IFERROR(VLOOKUP(WP_Calc[[#This Row],[Team]],$A:$B,2,0),0)</f>
        <v>0</v>
      </c>
      <c r="I217">
        <f>IFERROR(VLOOKUP(WP_Calc[[#This Row],[Team]],$D:$E,2,0),0)</f>
        <v>0</v>
      </c>
      <c r="J217" s="6" t="str">
        <f>IFERROR(WP_Calc[[#This Row],[Wins]]/(WP_Calc[[#This Row],[Wins]]+WP_Calc[[#This Row],[Losses]]),"")</f>
        <v/>
      </c>
    </row>
    <row r="218" spans="7:10" x14ac:dyDescent="0.2">
      <c r="G218" s="3" t="str">
        <f t="array" ref="G218">IFERROR(IFERROR(INDEX($A$2:$A$300, MATCH(0, COUNTIF($G$1:G217,$A$2:$A$300 ), 0)), INDEX($D$2:$D$300, MATCH(0, COUNTIF($G$1:G217,$D$2:$D$300 ), 0))), "")</f>
        <v/>
      </c>
      <c r="H218">
        <f>IFERROR(VLOOKUP(WP_Calc[[#This Row],[Team]],$A:$B,2,0),0)</f>
        <v>0</v>
      </c>
      <c r="I218">
        <f>IFERROR(VLOOKUP(WP_Calc[[#This Row],[Team]],$D:$E,2,0),0)</f>
        <v>0</v>
      </c>
      <c r="J218" s="6" t="str">
        <f>IFERROR(WP_Calc[[#This Row],[Wins]]/(WP_Calc[[#This Row],[Wins]]+WP_Calc[[#This Row],[Losses]]),"")</f>
        <v/>
      </c>
    </row>
    <row r="219" spans="7:10" x14ac:dyDescent="0.2">
      <c r="G219" s="3" t="str">
        <f t="array" ref="G219">IFERROR(IFERROR(INDEX($A$2:$A$300, MATCH(0, COUNTIF($G$1:G218,$A$2:$A$300 ), 0)), INDEX($D$2:$D$300, MATCH(0, COUNTIF($G$1:G218,$D$2:$D$300 ), 0))), "")</f>
        <v/>
      </c>
      <c r="H219">
        <f>IFERROR(VLOOKUP(WP_Calc[[#This Row],[Team]],$A:$B,2,0),0)</f>
        <v>0</v>
      </c>
      <c r="I219">
        <f>IFERROR(VLOOKUP(WP_Calc[[#This Row],[Team]],$D:$E,2,0),0)</f>
        <v>0</v>
      </c>
      <c r="J219" s="6" t="str">
        <f>IFERROR(WP_Calc[[#This Row],[Wins]]/(WP_Calc[[#This Row],[Wins]]+WP_Calc[[#This Row],[Losses]]),"")</f>
        <v/>
      </c>
    </row>
    <row r="220" spans="7:10" x14ac:dyDescent="0.2">
      <c r="G220" s="3" t="str">
        <f t="array" ref="G220">IFERROR(IFERROR(INDEX($A$2:$A$300, MATCH(0, COUNTIF($G$1:G219,$A$2:$A$300 ), 0)), INDEX($D$2:$D$300, MATCH(0, COUNTIF($G$1:G219,$D$2:$D$300 ), 0))), "")</f>
        <v/>
      </c>
      <c r="H220">
        <f>IFERROR(VLOOKUP(WP_Calc[[#This Row],[Team]],$A:$B,2,0),0)</f>
        <v>0</v>
      </c>
      <c r="I220">
        <f>IFERROR(VLOOKUP(WP_Calc[[#This Row],[Team]],$D:$E,2,0),0)</f>
        <v>0</v>
      </c>
      <c r="J220" s="6" t="str">
        <f>IFERROR(WP_Calc[[#This Row],[Wins]]/(WP_Calc[[#This Row],[Wins]]+WP_Calc[[#This Row],[Losses]]),"")</f>
        <v/>
      </c>
    </row>
    <row r="221" spans="7:10" x14ac:dyDescent="0.2">
      <c r="G221" s="3" t="str">
        <f t="array" ref="G221">IFERROR(IFERROR(INDEX($A$2:$A$300, MATCH(0, COUNTIF($G$1:G220,$A$2:$A$300 ), 0)), INDEX($D$2:$D$300, MATCH(0, COUNTIF($G$1:G220,$D$2:$D$300 ), 0))), "")</f>
        <v/>
      </c>
      <c r="H221">
        <f>IFERROR(VLOOKUP(WP_Calc[[#This Row],[Team]],$A:$B,2,0),0)</f>
        <v>0</v>
      </c>
      <c r="I221">
        <f>IFERROR(VLOOKUP(WP_Calc[[#This Row],[Team]],$D:$E,2,0),0)</f>
        <v>0</v>
      </c>
      <c r="J221" s="6" t="str">
        <f>IFERROR(WP_Calc[[#This Row],[Wins]]/(WP_Calc[[#This Row],[Wins]]+WP_Calc[[#This Row],[Losses]]),"")</f>
        <v/>
      </c>
    </row>
    <row r="222" spans="7:10" x14ac:dyDescent="0.2">
      <c r="G222" s="3" t="str">
        <f t="array" ref="G222">IFERROR(IFERROR(INDEX($A$2:$A$300, MATCH(0, COUNTIF($G$1:G221,$A$2:$A$300 ), 0)), INDEX($D$2:$D$300, MATCH(0, COUNTIF($G$1:G221,$D$2:$D$300 ), 0))), "")</f>
        <v/>
      </c>
      <c r="H222">
        <f>IFERROR(VLOOKUP(WP_Calc[[#This Row],[Team]],$A:$B,2,0),0)</f>
        <v>0</v>
      </c>
      <c r="I222">
        <f>IFERROR(VLOOKUP(WP_Calc[[#This Row],[Team]],$D:$E,2,0),0)</f>
        <v>0</v>
      </c>
      <c r="J222" s="6" t="str">
        <f>IFERROR(WP_Calc[[#This Row],[Wins]]/(WP_Calc[[#This Row],[Wins]]+WP_Calc[[#This Row],[Losses]]),"")</f>
        <v/>
      </c>
    </row>
    <row r="223" spans="7:10" x14ac:dyDescent="0.2">
      <c r="G223" s="3" t="str">
        <f t="array" ref="G223">IFERROR(IFERROR(INDEX($A$2:$A$300, MATCH(0, COUNTIF($G$1:G222,$A$2:$A$300 ), 0)), INDEX($D$2:$D$300, MATCH(0, COUNTIF($G$1:G222,$D$2:$D$300 ), 0))), "")</f>
        <v/>
      </c>
      <c r="H223">
        <f>IFERROR(VLOOKUP(WP_Calc[[#This Row],[Team]],$A:$B,2,0),0)</f>
        <v>0</v>
      </c>
      <c r="I223">
        <f>IFERROR(VLOOKUP(WP_Calc[[#This Row],[Team]],$D:$E,2,0),0)</f>
        <v>0</v>
      </c>
      <c r="J223" s="6" t="str">
        <f>IFERROR(WP_Calc[[#This Row],[Wins]]/(WP_Calc[[#This Row],[Wins]]+WP_Calc[[#This Row],[Losses]]),"")</f>
        <v/>
      </c>
    </row>
    <row r="224" spans="7:10" x14ac:dyDescent="0.2">
      <c r="G224" s="3" t="str">
        <f t="array" ref="G224">IFERROR(IFERROR(INDEX($A$2:$A$300, MATCH(0, COUNTIF($G$1:G223,$A$2:$A$300 ), 0)), INDEX($D$2:$D$300, MATCH(0, COUNTIF($G$1:G223,$D$2:$D$300 ), 0))), "")</f>
        <v/>
      </c>
      <c r="H224">
        <f>IFERROR(VLOOKUP(WP_Calc[[#This Row],[Team]],$A:$B,2,0),0)</f>
        <v>0</v>
      </c>
      <c r="I224">
        <f>IFERROR(VLOOKUP(WP_Calc[[#This Row],[Team]],$D:$E,2,0),0)</f>
        <v>0</v>
      </c>
      <c r="J224" s="6" t="str">
        <f>IFERROR(WP_Calc[[#This Row],[Wins]]/(WP_Calc[[#This Row],[Wins]]+WP_Calc[[#This Row],[Losses]]),"")</f>
        <v/>
      </c>
    </row>
    <row r="225" spans="7:10" x14ac:dyDescent="0.2">
      <c r="G225" s="3" t="str">
        <f t="array" ref="G225">IFERROR(IFERROR(INDEX($A$2:$A$300, MATCH(0, COUNTIF($G$1:G224,$A$2:$A$300 ), 0)), INDEX($D$2:$D$300, MATCH(0, COUNTIF($G$1:G224,$D$2:$D$300 ), 0))), "")</f>
        <v/>
      </c>
      <c r="H225">
        <f>IFERROR(VLOOKUP(WP_Calc[[#This Row],[Team]],$A:$B,2,0),0)</f>
        <v>0</v>
      </c>
      <c r="I225">
        <f>IFERROR(VLOOKUP(WP_Calc[[#This Row],[Team]],$D:$E,2,0),0)</f>
        <v>0</v>
      </c>
      <c r="J225" s="6" t="str">
        <f>IFERROR(WP_Calc[[#This Row],[Wins]]/(WP_Calc[[#This Row],[Wins]]+WP_Calc[[#This Row],[Losses]]),"")</f>
        <v/>
      </c>
    </row>
    <row r="226" spans="7:10" x14ac:dyDescent="0.2">
      <c r="G226" s="3" t="str">
        <f t="array" ref="G226">IFERROR(IFERROR(INDEX($A$2:$A$300, MATCH(0, COUNTIF($G$1:G225,$A$2:$A$300 ), 0)), INDEX($D$2:$D$300, MATCH(0, COUNTIF($G$1:G225,$D$2:$D$300 ), 0))), "")</f>
        <v/>
      </c>
      <c r="H226">
        <f>IFERROR(VLOOKUP(WP_Calc[[#This Row],[Team]],$A:$B,2,0),0)</f>
        <v>0</v>
      </c>
      <c r="I226">
        <f>IFERROR(VLOOKUP(WP_Calc[[#This Row],[Team]],$D:$E,2,0),0)</f>
        <v>0</v>
      </c>
      <c r="J226" s="6" t="str">
        <f>IFERROR(WP_Calc[[#This Row],[Wins]]/(WP_Calc[[#This Row],[Wins]]+WP_Calc[[#This Row],[Losses]]),"")</f>
        <v/>
      </c>
    </row>
    <row r="227" spans="7:10" x14ac:dyDescent="0.2">
      <c r="G227" s="3" t="str">
        <f t="array" ref="G227">IFERROR(IFERROR(INDEX($A$2:$A$300, MATCH(0, COUNTIF($G$1:G226,$A$2:$A$300 ), 0)), INDEX($D$2:$D$300, MATCH(0, COUNTIF($G$1:G226,$D$2:$D$300 ), 0))), "")</f>
        <v/>
      </c>
      <c r="H227">
        <f>IFERROR(VLOOKUP(WP_Calc[[#This Row],[Team]],$A:$B,2,0),0)</f>
        <v>0</v>
      </c>
      <c r="I227">
        <f>IFERROR(VLOOKUP(WP_Calc[[#This Row],[Team]],$D:$E,2,0),0)</f>
        <v>0</v>
      </c>
      <c r="J227" s="6" t="str">
        <f>IFERROR(WP_Calc[[#This Row],[Wins]]/(WP_Calc[[#This Row],[Wins]]+WP_Calc[[#This Row],[Losses]]),"")</f>
        <v/>
      </c>
    </row>
    <row r="228" spans="7:10" x14ac:dyDescent="0.2">
      <c r="G228" s="3" t="str">
        <f t="array" ref="G228">IFERROR(IFERROR(INDEX($A$2:$A$300, MATCH(0, COUNTIF($G$1:G227,$A$2:$A$300 ), 0)), INDEX($D$2:$D$300, MATCH(0, COUNTIF($G$1:G227,$D$2:$D$300 ), 0))), "")</f>
        <v/>
      </c>
      <c r="H228">
        <f>IFERROR(VLOOKUP(WP_Calc[[#This Row],[Team]],$A:$B,2,0),0)</f>
        <v>0</v>
      </c>
      <c r="I228">
        <f>IFERROR(VLOOKUP(WP_Calc[[#This Row],[Team]],$D:$E,2,0),0)</f>
        <v>0</v>
      </c>
      <c r="J228" s="6" t="str">
        <f>IFERROR(WP_Calc[[#This Row],[Wins]]/(WP_Calc[[#This Row],[Wins]]+WP_Calc[[#This Row],[Losses]]),"")</f>
        <v/>
      </c>
    </row>
    <row r="229" spans="7:10" x14ac:dyDescent="0.2">
      <c r="G229" s="3" t="str">
        <f t="array" ref="G229">IFERROR(IFERROR(INDEX($A$2:$A$300, MATCH(0, COUNTIF($G$1:G228,$A$2:$A$300 ), 0)), INDEX($D$2:$D$300, MATCH(0, COUNTIF($G$1:G228,$D$2:$D$300 ), 0))), "")</f>
        <v/>
      </c>
      <c r="H229">
        <f>IFERROR(VLOOKUP(WP_Calc[[#This Row],[Team]],$A:$B,2,0),0)</f>
        <v>0</v>
      </c>
      <c r="I229">
        <f>IFERROR(VLOOKUP(WP_Calc[[#This Row],[Team]],$D:$E,2,0),0)</f>
        <v>0</v>
      </c>
      <c r="J229" s="6" t="str">
        <f>IFERROR(WP_Calc[[#This Row],[Wins]]/(WP_Calc[[#This Row],[Wins]]+WP_Calc[[#This Row],[Losses]]),"")</f>
        <v/>
      </c>
    </row>
    <row r="230" spans="7:10" x14ac:dyDescent="0.2">
      <c r="G230" s="3" t="str">
        <f t="array" ref="G230">IFERROR(IFERROR(INDEX($A$2:$A$300, MATCH(0, COUNTIF($G$1:G229,$A$2:$A$300 ), 0)), INDEX($D$2:$D$300, MATCH(0, COUNTIF($G$1:G229,$D$2:$D$300 ), 0))), "")</f>
        <v/>
      </c>
      <c r="H230">
        <f>IFERROR(VLOOKUP(WP_Calc[[#This Row],[Team]],$A:$B,2,0),0)</f>
        <v>0</v>
      </c>
      <c r="I230">
        <f>IFERROR(VLOOKUP(WP_Calc[[#This Row],[Team]],$D:$E,2,0),0)</f>
        <v>0</v>
      </c>
      <c r="J230" s="6" t="str">
        <f>IFERROR(WP_Calc[[#This Row],[Wins]]/(WP_Calc[[#This Row],[Wins]]+WP_Calc[[#This Row],[Losses]]),"")</f>
        <v/>
      </c>
    </row>
    <row r="231" spans="7:10" x14ac:dyDescent="0.2">
      <c r="G231" s="3" t="str">
        <f t="array" ref="G231">IFERROR(IFERROR(INDEX($A$2:$A$300, MATCH(0, COUNTIF($G$1:G230,$A$2:$A$300 ), 0)), INDEX($D$2:$D$300, MATCH(0, COUNTIF($G$1:G230,$D$2:$D$300 ), 0))), "")</f>
        <v/>
      </c>
      <c r="H231">
        <f>IFERROR(VLOOKUP(WP_Calc[[#This Row],[Team]],$A:$B,2,0),0)</f>
        <v>0</v>
      </c>
      <c r="I231">
        <f>IFERROR(VLOOKUP(WP_Calc[[#This Row],[Team]],$D:$E,2,0),0)</f>
        <v>0</v>
      </c>
      <c r="J231" s="6" t="str">
        <f>IFERROR(WP_Calc[[#This Row],[Wins]]/(WP_Calc[[#This Row],[Wins]]+WP_Calc[[#This Row],[Losses]]),"")</f>
        <v/>
      </c>
    </row>
    <row r="232" spans="7:10" x14ac:dyDescent="0.2">
      <c r="G232" s="3" t="str">
        <f t="array" ref="G232">IFERROR(IFERROR(INDEX($A$2:$A$300, MATCH(0, COUNTIF($G$1:G231,$A$2:$A$300 ), 0)), INDEX($D$2:$D$300, MATCH(0, COUNTIF($G$1:G231,$D$2:$D$300 ), 0))), "")</f>
        <v/>
      </c>
      <c r="H232">
        <f>IFERROR(VLOOKUP(WP_Calc[[#This Row],[Team]],$A:$B,2,0),0)</f>
        <v>0</v>
      </c>
      <c r="I232">
        <f>IFERROR(VLOOKUP(WP_Calc[[#This Row],[Team]],$D:$E,2,0),0)</f>
        <v>0</v>
      </c>
      <c r="J232" s="6" t="str">
        <f>IFERROR(WP_Calc[[#This Row],[Wins]]/(WP_Calc[[#This Row],[Wins]]+WP_Calc[[#This Row],[Losses]]),"")</f>
        <v/>
      </c>
    </row>
    <row r="233" spans="7:10" x14ac:dyDescent="0.2">
      <c r="G233" s="3" t="str">
        <f t="array" ref="G233">IFERROR(IFERROR(INDEX($A$2:$A$300, MATCH(0, COUNTIF($G$1:G232,$A$2:$A$300 ), 0)), INDEX($D$2:$D$300, MATCH(0, COUNTIF($G$1:G232,$D$2:$D$300 ), 0))), "")</f>
        <v/>
      </c>
      <c r="H233">
        <f>IFERROR(VLOOKUP(WP_Calc[[#This Row],[Team]],$A:$B,2,0),0)</f>
        <v>0</v>
      </c>
      <c r="I233">
        <f>IFERROR(VLOOKUP(WP_Calc[[#This Row],[Team]],$D:$E,2,0),0)</f>
        <v>0</v>
      </c>
      <c r="J233" s="6" t="str">
        <f>IFERROR(WP_Calc[[#This Row],[Wins]]/(WP_Calc[[#This Row],[Wins]]+WP_Calc[[#This Row],[Losses]]),"")</f>
        <v/>
      </c>
    </row>
  </sheetData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N202"/>
  <sheetViews>
    <sheetView workbookViewId="0">
      <pane ySplit="1" topLeftCell="A2" activePane="bottomLeft" state="frozen"/>
      <selection pane="bottomLeft" activeCell="G2" sqref="G2"/>
    </sheetView>
  </sheetViews>
  <sheetFormatPr baseColWidth="10" defaultColWidth="10" defaultRowHeight="15" x14ac:dyDescent="0.2"/>
  <cols>
    <col min="1" max="1" width="16.33203125" customWidth="1"/>
    <col min="2" max="2" width="14.1640625" customWidth="1"/>
    <col min="3" max="3" width="7.1640625" customWidth="1"/>
    <col min="4" max="4" width="6.33203125" customWidth="1"/>
    <col min="5" max="6" width="2.1640625" customWidth="1"/>
    <col min="7" max="7" width="16.33203125" customWidth="1"/>
    <col min="8" max="8" width="8.6640625" customWidth="1"/>
    <col min="9" max="9" width="7.6640625" customWidth="1"/>
    <col min="10" max="10" width="7.83203125" customWidth="1"/>
    <col min="11" max="12" width="2.1640625" customWidth="1"/>
    <col min="13" max="13" width="22.5" customWidth="1"/>
    <col min="14" max="14" width="7.83203125" style="6" bestFit="1" customWidth="1"/>
  </cols>
  <sheetData>
    <row r="1" spans="1:14" s="9" customFormat="1" ht="45" x14ac:dyDescent="0.2">
      <c r="A1" s="8" t="s">
        <v>0</v>
      </c>
      <c r="B1" s="9" t="s">
        <v>10</v>
      </c>
      <c r="C1" s="9" t="s">
        <v>16</v>
      </c>
      <c r="D1" s="9" t="s">
        <v>18</v>
      </c>
      <c r="E1"/>
      <c r="F1"/>
      <c r="G1" s="8" t="s">
        <v>2</v>
      </c>
      <c r="H1" s="9" t="s">
        <v>9</v>
      </c>
      <c r="I1" s="9" t="s">
        <v>19</v>
      </c>
      <c r="J1" s="9" t="s">
        <v>17</v>
      </c>
      <c r="L1"/>
      <c r="M1" s="9" t="s">
        <v>4</v>
      </c>
      <c r="N1" s="11" t="s">
        <v>6</v>
      </c>
    </row>
    <row r="2" spans="1:14" x14ac:dyDescent="0.2">
      <c r="A2" t="s">
        <v>27</v>
      </c>
      <c r="B2" s="3"/>
      <c r="C2" s="6" t="e">
        <v>#DIV/0!</v>
      </c>
      <c r="D2" s="6">
        <v>0</v>
      </c>
      <c r="G2" t="s">
        <v>27</v>
      </c>
      <c r="H2" s="3"/>
      <c r="I2" s="6" t="e">
        <v>#DIV/0!</v>
      </c>
      <c r="J2" s="6">
        <v>0</v>
      </c>
      <c r="K2" s="6"/>
      <c r="M2" t="str">
        <f t="array" ref="M2">WP_Calc[[#This Row],[Team]]</f>
        <v>(blank)</v>
      </c>
      <c r="N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" spans="1:14" x14ac:dyDescent="0.2">
      <c r="A3" t="s">
        <v>28</v>
      </c>
      <c r="B3" s="3">
        <v>4</v>
      </c>
      <c r="C3" s="6">
        <v>0.375</v>
      </c>
      <c r="D3" s="6">
        <v>1.5</v>
      </c>
      <c r="G3" t="s">
        <v>29</v>
      </c>
      <c r="H3" s="3">
        <v>5</v>
      </c>
      <c r="I3" s="6">
        <v>0.6</v>
      </c>
      <c r="J3" s="6">
        <v>3</v>
      </c>
      <c r="K3" s="6"/>
      <c r="M3" t="str">
        <f t="array" ref="M3">WP_Calc[[#This Row],[Team]]</f>
        <v>West Texas</v>
      </c>
      <c r="N3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0.48</v>
      </c>
    </row>
    <row r="4" spans="1:14" x14ac:dyDescent="0.2">
      <c r="A4" t="s">
        <v>30</v>
      </c>
      <c r="B4" s="3">
        <v>5</v>
      </c>
      <c r="C4" s="6">
        <v>0.34</v>
      </c>
      <c r="D4" s="6">
        <v>1.7000000000000002</v>
      </c>
      <c r="G4" t="s">
        <v>31</v>
      </c>
      <c r="H4" s="3">
        <v>5</v>
      </c>
      <c r="I4" s="6">
        <v>0.62</v>
      </c>
      <c r="J4" s="6">
        <v>3.1</v>
      </c>
      <c r="K4" s="6"/>
      <c r="M4" t="str">
        <f t="array" ref="M4">WP_Calc[[#This Row],[Team]]</f>
        <v>Deutschtown</v>
      </c>
      <c r="N4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0.47000000000000003</v>
      </c>
    </row>
    <row r="5" spans="1:14" x14ac:dyDescent="0.2">
      <c r="A5" t="s">
        <v>33</v>
      </c>
      <c r="B5" s="3">
        <v>3</v>
      </c>
      <c r="C5" s="6">
        <v>0.3</v>
      </c>
      <c r="D5" s="6">
        <v>0.9</v>
      </c>
      <c r="G5" t="s">
        <v>32</v>
      </c>
      <c r="H5" s="3">
        <v>7</v>
      </c>
      <c r="I5" s="6">
        <v>0.52857142857142858</v>
      </c>
      <c r="J5" s="6">
        <v>3.6999999999999997</v>
      </c>
      <c r="K5" s="6"/>
      <c r="M5" t="str">
        <f t="array" ref="M5">WP_Calc[[#This Row],[Team]]</f>
        <v>Erie Tech</v>
      </c>
      <c r="N5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</v>
      </c>
    </row>
    <row r="6" spans="1:14" x14ac:dyDescent="0.2">
      <c r="A6" t="s">
        <v>34</v>
      </c>
      <c r="B6" s="3">
        <v>8</v>
      </c>
      <c r="C6" s="6">
        <v>0.52499999999999991</v>
      </c>
      <c r="D6" s="6">
        <v>4.1999999999999993</v>
      </c>
      <c r="G6" t="s">
        <v>35</v>
      </c>
      <c r="H6" s="3">
        <v>3</v>
      </c>
      <c r="I6" s="6">
        <v>0.66666666666666663</v>
      </c>
      <c r="J6" s="6">
        <v>2</v>
      </c>
      <c r="K6" s="6"/>
      <c r="M6" t="str">
        <f t="array" ref="M6">WP_Calc[[#This Row],[Team]]</f>
        <v>Calvert</v>
      </c>
      <c r="N6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0.52999999999999992</v>
      </c>
    </row>
    <row r="7" spans="1:14" x14ac:dyDescent="0.2">
      <c r="A7" t="s">
        <v>36</v>
      </c>
      <c r="B7" s="3">
        <v>6</v>
      </c>
      <c r="C7" s="6">
        <v>0.34999999999999992</v>
      </c>
      <c r="D7" s="6">
        <v>2.0999999999999996</v>
      </c>
      <c r="G7" t="s">
        <v>37</v>
      </c>
      <c r="H7" s="3">
        <v>9</v>
      </c>
      <c r="I7" s="6">
        <v>0.52222222222222225</v>
      </c>
      <c r="J7" s="6">
        <v>4.7</v>
      </c>
      <c r="K7" s="6"/>
      <c r="M7" t="str">
        <f t="array" ref="M7">WP_Calc[[#This Row],[Team]]</f>
        <v>Irvington</v>
      </c>
      <c r="N7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0.46999999999999992</v>
      </c>
    </row>
    <row r="8" spans="1:14" x14ac:dyDescent="0.2">
      <c r="A8" t="s">
        <v>38</v>
      </c>
      <c r="B8" s="3">
        <v>4</v>
      </c>
      <c r="C8" s="6">
        <v>0.55000000000000004</v>
      </c>
      <c r="D8" s="6">
        <v>2.2000000000000002</v>
      </c>
      <c r="G8" t="s">
        <v>39</v>
      </c>
      <c r="H8" s="3">
        <v>6</v>
      </c>
      <c r="I8" s="6">
        <v>0.54999999999999993</v>
      </c>
      <c r="J8" s="6">
        <v>3.3</v>
      </c>
      <c r="K8" s="6"/>
      <c r="M8" t="str">
        <f t="array" ref="M8">WP_Calc[[#This Row],[Team]]</f>
        <v>Kentucky Tech</v>
      </c>
      <c r="N8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0.45</v>
      </c>
    </row>
    <row r="9" spans="1:14" x14ac:dyDescent="0.2">
      <c r="A9" t="s">
        <v>40</v>
      </c>
      <c r="B9" s="3">
        <v>8</v>
      </c>
      <c r="C9" s="6">
        <v>0.39999999999999997</v>
      </c>
      <c r="D9" s="6">
        <v>3.1999999999999997</v>
      </c>
      <c r="G9" t="s">
        <v>41</v>
      </c>
      <c r="H9" s="3">
        <v>6</v>
      </c>
      <c r="I9" s="6">
        <v>0.58333333333333337</v>
      </c>
      <c r="J9" s="6">
        <v>3.5</v>
      </c>
      <c r="K9" s="6"/>
      <c r="M9" t="str">
        <f t="array" ref="M9">WP_Calc[[#This Row],[Team]]</f>
        <v>Lakeshore</v>
      </c>
      <c r="N9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0.43</v>
      </c>
    </row>
    <row r="10" spans="1:14" x14ac:dyDescent="0.2">
      <c r="A10" t="s">
        <v>42</v>
      </c>
      <c r="B10" s="3">
        <v>7</v>
      </c>
      <c r="C10" s="6">
        <v>0.54285714285714282</v>
      </c>
      <c r="D10" s="6">
        <v>3.8</v>
      </c>
      <c r="G10" t="s">
        <v>43</v>
      </c>
      <c r="H10" s="3">
        <v>5</v>
      </c>
      <c r="I10" s="6">
        <v>0.7</v>
      </c>
      <c r="J10" s="6">
        <v>3.5</v>
      </c>
      <c r="K10" s="6"/>
      <c r="M10" t="str">
        <f t="array" ref="M10">WP_Calc[[#This Row],[Team]]</f>
        <v>California A&amp;M</v>
      </c>
      <c r="N10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0.54</v>
      </c>
    </row>
    <row r="11" spans="1:14" x14ac:dyDescent="0.2">
      <c r="A11" t="s">
        <v>44</v>
      </c>
      <c r="B11" s="3">
        <v>7</v>
      </c>
      <c r="C11" s="6">
        <v>0.54285714285714293</v>
      </c>
      <c r="D11" s="6">
        <v>3.8000000000000003</v>
      </c>
      <c r="G11" t="s">
        <v>45</v>
      </c>
      <c r="H11" s="3">
        <v>6</v>
      </c>
      <c r="I11" s="6">
        <v>0.53333333333333333</v>
      </c>
      <c r="J11" s="6">
        <v>3.2</v>
      </c>
      <c r="K11" s="6"/>
      <c r="M11" t="str">
        <f t="array" ref="M11">WP_Calc[[#This Row],[Team]]</f>
        <v>UC Long Beach</v>
      </c>
      <c r="N11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0.57000000000000006</v>
      </c>
    </row>
    <row r="12" spans="1:14" x14ac:dyDescent="0.2">
      <c r="A12" t="s">
        <v>35</v>
      </c>
      <c r="B12" s="3">
        <v>7</v>
      </c>
      <c r="C12" s="6">
        <v>0.39999999999999997</v>
      </c>
      <c r="D12" s="6">
        <v>2.8</v>
      </c>
      <c r="G12" t="s">
        <v>42</v>
      </c>
      <c r="H12" s="3">
        <v>3</v>
      </c>
      <c r="I12" s="6">
        <v>0.53333333333333333</v>
      </c>
      <c r="J12" s="6">
        <v>1.6</v>
      </c>
      <c r="K12" s="6"/>
      <c r="M12" t="str">
        <f t="array" ref="M12">WP_Calc[[#This Row],[Team]]</f>
        <v>Bloom State</v>
      </c>
      <c r="N12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0.48</v>
      </c>
    </row>
    <row r="13" spans="1:14" x14ac:dyDescent="0.2">
      <c r="A13" t="s">
        <v>31</v>
      </c>
      <c r="B13" s="3">
        <v>5</v>
      </c>
      <c r="C13" s="6">
        <v>0.32000000000000006</v>
      </c>
      <c r="D13" s="6">
        <v>1.6000000000000003</v>
      </c>
      <c r="G13" t="s">
        <v>28</v>
      </c>
      <c r="H13" s="3">
        <v>6</v>
      </c>
      <c r="I13" s="6">
        <v>0.54999999999999993</v>
      </c>
      <c r="J13" s="6">
        <v>3.3</v>
      </c>
      <c r="K13" s="6"/>
      <c r="M13" t="str">
        <f t="array" ref="M13">WP_Calc[[#This Row],[Team]]</f>
        <v>Redmond</v>
      </c>
      <c r="N13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0.47000000000000003</v>
      </c>
    </row>
    <row r="14" spans="1:14" x14ac:dyDescent="0.2">
      <c r="A14" t="s">
        <v>43</v>
      </c>
      <c r="B14" s="3">
        <v>5</v>
      </c>
      <c r="C14" s="6">
        <v>0.38</v>
      </c>
      <c r="D14" s="6">
        <v>1.9</v>
      </c>
      <c r="G14" t="s">
        <v>38</v>
      </c>
      <c r="H14" s="3">
        <v>6</v>
      </c>
      <c r="I14" s="6">
        <v>0.38333333333333336</v>
      </c>
      <c r="J14" s="6">
        <v>2.3000000000000003</v>
      </c>
      <c r="K14" s="6"/>
      <c r="M14" t="str">
        <f t="array" ref="M14">WP_Calc[[#This Row],[Team]]</f>
        <v>Dennison State</v>
      </c>
      <c r="N14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0.54</v>
      </c>
    </row>
    <row r="15" spans="1:14" x14ac:dyDescent="0.2">
      <c r="A15" t="s">
        <v>32</v>
      </c>
      <c r="B15" s="3">
        <v>3</v>
      </c>
      <c r="C15" s="6">
        <v>0.40000000000000008</v>
      </c>
      <c r="D15" s="6">
        <v>1.2000000000000002</v>
      </c>
      <c r="G15" t="s">
        <v>36</v>
      </c>
      <c r="H15" s="3">
        <v>4</v>
      </c>
      <c r="I15" s="6">
        <v>0.65</v>
      </c>
      <c r="J15" s="6">
        <v>2.6</v>
      </c>
      <c r="K15" s="6"/>
      <c r="M15" t="str">
        <f t="array" ref="M15">WP_Calc[[#This Row],[Team]]</f>
        <v>Southern Atlantic</v>
      </c>
      <c r="N15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0.49000000000000005</v>
      </c>
    </row>
    <row r="16" spans="1:14" x14ac:dyDescent="0.2">
      <c r="A16" t="s">
        <v>37</v>
      </c>
      <c r="B16" s="3">
        <v>1</v>
      </c>
      <c r="C16" s="6">
        <v>0.4</v>
      </c>
      <c r="D16" s="6">
        <v>0.4</v>
      </c>
      <c r="G16" t="s">
        <v>30</v>
      </c>
      <c r="H16" s="3">
        <v>5</v>
      </c>
      <c r="I16" s="6">
        <v>0.6</v>
      </c>
      <c r="J16" s="6">
        <v>3</v>
      </c>
      <c r="K16" s="6"/>
      <c r="M16" t="str">
        <f t="array" ref="M16">WP_Calc[[#This Row],[Team]]</f>
        <v>UW Lower Columbia</v>
      </c>
      <c r="N16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0.51</v>
      </c>
    </row>
    <row r="17" spans="1:14" x14ac:dyDescent="0.2">
      <c r="A17" t="s">
        <v>41</v>
      </c>
      <c r="B17" s="3">
        <v>4</v>
      </c>
      <c r="C17" s="6">
        <v>0.47499999999999998</v>
      </c>
      <c r="D17" s="6">
        <v>1.9</v>
      </c>
      <c r="G17" t="s">
        <v>33</v>
      </c>
      <c r="H17" s="3">
        <v>7</v>
      </c>
      <c r="I17" s="6">
        <v>0.58571428571428563</v>
      </c>
      <c r="J17" s="6">
        <v>4.0999999999999996</v>
      </c>
      <c r="K17" s="6"/>
      <c r="M17" t="str">
        <f t="array" ref="M17">WP_Calc[[#This Row],[Team]]</f>
        <v>Continental</v>
      </c>
      <c r="N17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0.54</v>
      </c>
    </row>
    <row r="18" spans="1:14" x14ac:dyDescent="0.2">
      <c r="A18" t="s">
        <v>45</v>
      </c>
      <c r="B18" s="3">
        <v>4</v>
      </c>
      <c r="C18" s="6">
        <v>0.375</v>
      </c>
      <c r="D18" s="6">
        <v>1.5</v>
      </c>
      <c r="G18" t="s">
        <v>44</v>
      </c>
      <c r="H18" s="3">
        <v>3</v>
      </c>
      <c r="I18" s="6">
        <v>0.6333333333333333</v>
      </c>
      <c r="J18" s="6">
        <v>1.9</v>
      </c>
      <c r="K18" s="6"/>
      <c r="M18" t="str">
        <f t="array" ref="M18">WP_Calc[[#This Row],[Team]]</f>
        <v>Golden Isles</v>
      </c>
      <c r="N18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0.47000000000000003</v>
      </c>
    </row>
    <row r="19" spans="1:14" x14ac:dyDescent="0.2">
      <c r="A19" t="s">
        <v>29</v>
      </c>
      <c r="B19" s="3">
        <v>5</v>
      </c>
      <c r="C19" s="6">
        <v>0.45999999999999996</v>
      </c>
      <c r="D19" s="6">
        <v>2.2999999999999998</v>
      </c>
      <c r="G19" t="s">
        <v>34</v>
      </c>
      <c r="H19" s="3">
        <v>2</v>
      </c>
      <c r="I19" s="6">
        <v>0.55000000000000004</v>
      </c>
      <c r="J19" s="6">
        <v>1.1000000000000001</v>
      </c>
      <c r="K19" s="6"/>
      <c r="M19" t="str">
        <f t="array" ref="M19">WP_Calc[[#This Row],[Team]]</f>
        <v>Minnesota A&amp;M</v>
      </c>
      <c r="N19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0.53</v>
      </c>
    </row>
    <row r="20" spans="1:14" x14ac:dyDescent="0.2">
      <c r="A20" t="s">
        <v>39</v>
      </c>
      <c r="B20" s="3">
        <v>4</v>
      </c>
      <c r="C20" s="6">
        <v>0.5</v>
      </c>
      <c r="D20" s="6">
        <v>2</v>
      </c>
      <c r="G20" t="s">
        <v>40</v>
      </c>
      <c r="H20" s="3">
        <v>2</v>
      </c>
      <c r="I20" s="6">
        <v>0.55000000000000004</v>
      </c>
      <c r="J20" s="6">
        <v>1.1000000000000001</v>
      </c>
      <c r="K20" s="6"/>
      <c r="M20" t="str">
        <f t="array" ref="M20">WP_Calc[[#This Row],[Team]]</f>
        <v>Coastal California</v>
      </c>
      <c r="N20" s="6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0.53</v>
      </c>
    </row>
    <row r="21" spans="1:14" x14ac:dyDescent="0.2">
      <c r="K21" s="6"/>
      <c r="M21">
        <f t="array" ref="M21">WP_Calc[[#This Row],[Team]]</f>
        <v>0</v>
      </c>
      <c r="N2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2" spans="1:14" x14ac:dyDescent="0.2">
      <c r="K22" s="6"/>
      <c r="M22" t="str">
        <f t="array" ref="M22">WP_Calc[[#This Row],[Team]]</f>
        <v/>
      </c>
      <c r="N2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3" spans="1:14" x14ac:dyDescent="0.2">
      <c r="K23" s="6"/>
      <c r="M23" t="str">
        <f t="array" ref="M23">WP_Calc[[#This Row],[Team]]</f>
        <v/>
      </c>
      <c r="N2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4" spans="1:14" x14ac:dyDescent="0.2">
      <c r="K24" s="6"/>
      <c r="M24" t="str">
        <f t="array" ref="M24">WP_Calc[[#This Row],[Team]]</f>
        <v/>
      </c>
      <c r="N2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5" spans="1:14" x14ac:dyDescent="0.2">
      <c r="K25" s="6"/>
      <c r="M25" t="str">
        <f t="array" ref="M25">WP_Calc[[#This Row],[Team]]</f>
        <v/>
      </c>
      <c r="N2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6" spans="1:14" x14ac:dyDescent="0.2">
      <c r="K26" s="6"/>
      <c r="M26" t="str">
        <f t="array" ref="M26">WP_Calc[[#This Row],[Team]]</f>
        <v/>
      </c>
      <c r="N2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7" spans="1:14" x14ac:dyDescent="0.2">
      <c r="K27" s="6"/>
      <c r="M27" t="str">
        <f t="array" ref="M27">WP_Calc[[#This Row],[Team]]</f>
        <v/>
      </c>
      <c r="N2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8" spans="1:14" x14ac:dyDescent="0.2">
      <c r="K28" s="6"/>
      <c r="M28" t="str">
        <f t="array" ref="M28">WP_Calc[[#This Row],[Team]]</f>
        <v/>
      </c>
      <c r="N2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9" spans="1:14" x14ac:dyDescent="0.2">
      <c r="K29" s="6"/>
      <c r="M29" t="str">
        <f t="array" ref="M29">WP_Calc[[#This Row],[Team]]</f>
        <v/>
      </c>
      <c r="N2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0" spans="1:14" x14ac:dyDescent="0.2">
      <c r="K30" s="6"/>
      <c r="M30" t="str">
        <f t="array" ref="M30">WP_Calc[[#This Row],[Team]]</f>
        <v/>
      </c>
      <c r="N3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1" spans="1:14" x14ac:dyDescent="0.2">
      <c r="K31" s="6"/>
      <c r="M31" t="str">
        <f t="array" ref="M31">WP_Calc[[#This Row],[Team]]</f>
        <v/>
      </c>
      <c r="N3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2" spans="1:14" x14ac:dyDescent="0.2">
      <c r="K32" s="6"/>
      <c r="M32" t="str">
        <f t="array" ref="M32">WP_Calc[[#This Row],[Team]]</f>
        <v/>
      </c>
      <c r="N3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3" spans="11:14" x14ac:dyDescent="0.2">
      <c r="K33" s="6"/>
      <c r="M33" t="str">
        <f t="array" ref="M33">WP_Calc[[#This Row],[Team]]</f>
        <v/>
      </c>
      <c r="N3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4" spans="11:14" x14ac:dyDescent="0.2">
      <c r="K34" s="6"/>
      <c r="M34" t="str">
        <f t="array" ref="M34">WP_Calc[[#This Row],[Team]]</f>
        <v/>
      </c>
      <c r="N3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5" spans="11:14" x14ac:dyDescent="0.2">
      <c r="K35" s="6"/>
      <c r="M35" t="str">
        <f t="array" ref="M35">WP_Calc[[#This Row],[Team]]</f>
        <v/>
      </c>
      <c r="N3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6" spans="11:14" x14ac:dyDescent="0.2">
      <c r="K36" s="6"/>
      <c r="M36" t="str">
        <f t="array" ref="M36">WP_Calc[[#This Row],[Team]]</f>
        <v/>
      </c>
      <c r="N3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7" spans="11:14" x14ac:dyDescent="0.2">
      <c r="K37" s="6"/>
      <c r="M37" t="str">
        <f t="array" ref="M37">WP_Calc[[#This Row],[Team]]</f>
        <v/>
      </c>
      <c r="N3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8" spans="11:14" x14ac:dyDescent="0.2">
      <c r="K38" s="6"/>
      <c r="M38" t="str">
        <f t="array" ref="M38">WP_Calc[[#This Row],[Team]]</f>
        <v/>
      </c>
      <c r="N3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39" spans="11:14" x14ac:dyDescent="0.2">
      <c r="K39" s="6"/>
      <c r="M39" t="str">
        <f t="array" ref="M39">WP_Calc[[#This Row],[Team]]</f>
        <v/>
      </c>
      <c r="N3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0" spans="11:14" x14ac:dyDescent="0.2">
      <c r="K40" s="6"/>
      <c r="M40" t="str">
        <f t="array" ref="M40">WP_Calc[[#This Row],[Team]]</f>
        <v/>
      </c>
      <c r="N4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1" spans="11:14" x14ac:dyDescent="0.2">
      <c r="K41" s="6"/>
      <c r="M41" t="str">
        <f t="array" ref="M41">WP_Calc[[#This Row],[Team]]</f>
        <v/>
      </c>
      <c r="N4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2" spans="11:14" x14ac:dyDescent="0.2">
      <c r="K42" s="6"/>
      <c r="M42" t="str">
        <f t="array" ref="M42">WP_Calc[[#This Row],[Team]]</f>
        <v/>
      </c>
      <c r="N4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3" spans="11:14" x14ac:dyDescent="0.2">
      <c r="K43" s="6"/>
      <c r="M43" t="str">
        <f t="array" ref="M43">WP_Calc[[#This Row],[Team]]</f>
        <v/>
      </c>
      <c r="N4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4" spans="11:14" x14ac:dyDescent="0.2">
      <c r="K44" s="6"/>
      <c r="M44" t="str">
        <f t="array" ref="M44">WP_Calc[[#This Row],[Team]]</f>
        <v/>
      </c>
      <c r="N4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5" spans="11:14" x14ac:dyDescent="0.2">
      <c r="K45" s="6"/>
      <c r="M45" t="str">
        <f t="array" ref="M45">WP_Calc[[#This Row],[Team]]</f>
        <v/>
      </c>
      <c r="N4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6" spans="11:14" x14ac:dyDescent="0.2">
      <c r="K46" s="6"/>
      <c r="M46" t="str">
        <f t="array" ref="M46">WP_Calc[[#This Row],[Team]]</f>
        <v/>
      </c>
      <c r="N4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7" spans="11:14" x14ac:dyDescent="0.2">
      <c r="K47" s="6"/>
      <c r="M47" t="str">
        <f t="array" ref="M47">WP_Calc[[#This Row],[Team]]</f>
        <v/>
      </c>
      <c r="N4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8" spans="11:14" x14ac:dyDescent="0.2">
      <c r="K48" s="6"/>
      <c r="M48" t="str">
        <f t="array" ref="M48">WP_Calc[[#This Row],[Team]]</f>
        <v/>
      </c>
      <c r="N4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49" spans="11:14" x14ac:dyDescent="0.2">
      <c r="K49" s="6"/>
      <c r="M49" t="str">
        <f t="array" ref="M49">WP_Calc[[#This Row],[Team]]</f>
        <v/>
      </c>
      <c r="N4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0" spans="11:14" x14ac:dyDescent="0.2">
      <c r="K50" s="6"/>
      <c r="M50" t="str">
        <f t="array" ref="M50">WP_Calc[[#This Row],[Team]]</f>
        <v/>
      </c>
      <c r="N5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1" spans="11:14" x14ac:dyDescent="0.2">
      <c r="K51" s="6"/>
      <c r="M51" t="str">
        <f t="array" ref="M51">WP_Calc[[#This Row],[Team]]</f>
        <v/>
      </c>
      <c r="N5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2" spans="11:14" x14ac:dyDescent="0.2">
      <c r="K52" s="6"/>
      <c r="M52" t="str">
        <f t="array" ref="M52">WP_Calc[[#This Row],[Team]]</f>
        <v/>
      </c>
      <c r="N5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3" spans="11:14" x14ac:dyDescent="0.2">
      <c r="K53" s="6"/>
      <c r="M53" t="str">
        <f t="array" ref="M53">WP_Calc[[#This Row],[Team]]</f>
        <v/>
      </c>
      <c r="N5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4" spans="11:14" x14ac:dyDescent="0.2">
      <c r="K54" s="6"/>
      <c r="M54" t="str">
        <f t="array" ref="M54">WP_Calc[[#This Row],[Team]]</f>
        <v/>
      </c>
      <c r="N5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5" spans="11:14" x14ac:dyDescent="0.2">
      <c r="K55" s="6"/>
      <c r="M55" t="str">
        <f t="array" ref="M55">WP_Calc[[#This Row],[Team]]</f>
        <v/>
      </c>
      <c r="N5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6" spans="11:14" x14ac:dyDescent="0.2">
      <c r="K56" s="6"/>
      <c r="M56" t="str">
        <f t="array" ref="M56">WP_Calc[[#This Row],[Team]]</f>
        <v/>
      </c>
      <c r="N5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7" spans="11:14" x14ac:dyDescent="0.2">
      <c r="K57" s="6"/>
      <c r="M57" t="str">
        <f t="array" ref="M57">WP_Calc[[#This Row],[Team]]</f>
        <v/>
      </c>
      <c r="N5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8" spans="11:14" x14ac:dyDescent="0.2">
      <c r="K58" s="6"/>
      <c r="M58" t="str">
        <f t="array" ref="M58">WP_Calc[[#This Row],[Team]]</f>
        <v/>
      </c>
      <c r="N5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59" spans="11:14" x14ac:dyDescent="0.2">
      <c r="K59" s="6"/>
      <c r="M59" t="str">
        <f t="array" ref="M59">WP_Calc[[#This Row],[Team]]</f>
        <v/>
      </c>
      <c r="N5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0" spans="11:14" x14ac:dyDescent="0.2">
      <c r="K60" s="6"/>
      <c r="M60" t="str">
        <f t="array" ref="M60">WP_Calc[[#This Row],[Team]]</f>
        <v/>
      </c>
      <c r="N6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1" spans="11:14" x14ac:dyDescent="0.2">
      <c r="K61" s="6"/>
      <c r="M61" t="str">
        <f t="array" ref="M61">WP_Calc[[#This Row],[Team]]</f>
        <v/>
      </c>
      <c r="N6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2" spans="11:14" x14ac:dyDescent="0.2">
      <c r="K62" s="6"/>
      <c r="M62" t="str">
        <f t="array" ref="M62">WP_Calc[[#This Row],[Team]]</f>
        <v/>
      </c>
      <c r="N6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3" spans="11:14" x14ac:dyDescent="0.2">
      <c r="K63" s="6"/>
      <c r="M63" t="str">
        <f t="array" ref="M63">WP_Calc[[#This Row],[Team]]</f>
        <v/>
      </c>
      <c r="N6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4" spans="11:14" x14ac:dyDescent="0.2">
      <c r="K64" s="6"/>
      <c r="M64" t="str">
        <f t="array" ref="M64">WP_Calc[[#This Row],[Team]]</f>
        <v/>
      </c>
      <c r="N6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5" spans="11:14" x14ac:dyDescent="0.2">
      <c r="K65" s="6"/>
      <c r="M65" t="str">
        <f t="array" ref="M65">WP_Calc[[#This Row],[Team]]</f>
        <v/>
      </c>
      <c r="N6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6" spans="11:14" x14ac:dyDescent="0.2">
      <c r="K66" s="6"/>
      <c r="M66" t="str">
        <f t="array" ref="M66">WP_Calc[[#This Row],[Team]]</f>
        <v/>
      </c>
      <c r="N6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7" spans="11:14" x14ac:dyDescent="0.2">
      <c r="K67" s="6"/>
      <c r="M67" t="str">
        <f t="array" ref="M67">WP_Calc[[#This Row],[Team]]</f>
        <v/>
      </c>
      <c r="N6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8" spans="11:14" x14ac:dyDescent="0.2">
      <c r="K68" s="6"/>
      <c r="M68" t="str">
        <f t="array" ref="M68">WP_Calc[[#This Row],[Team]]</f>
        <v/>
      </c>
      <c r="N6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69" spans="11:14" x14ac:dyDescent="0.2">
      <c r="K69" s="6"/>
      <c r="M69" t="str">
        <f t="array" ref="M69">WP_Calc[[#This Row],[Team]]</f>
        <v/>
      </c>
      <c r="N6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0" spans="11:14" x14ac:dyDescent="0.2">
      <c r="K70" s="6"/>
      <c r="M70" t="str">
        <f t="array" ref="M70">WP_Calc[[#This Row],[Team]]</f>
        <v/>
      </c>
      <c r="N7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1" spans="11:14" x14ac:dyDescent="0.2">
      <c r="K71" s="6"/>
      <c r="M71" t="str">
        <f t="array" ref="M71">WP_Calc[[#This Row],[Team]]</f>
        <v/>
      </c>
      <c r="N7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2" spans="11:14" x14ac:dyDescent="0.2">
      <c r="K72" s="6"/>
      <c r="M72" t="str">
        <f t="array" ref="M72">WP_Calc[[#This Row],[Team]]</f>
        <v/>
      </c>
      <c r="N7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3" spans="11:14" x14ac:dyDescent="0.2">
      <c r="K73" s="6"/>
      <c r="M73" t="str">
        <f t="array" ref="M73">WP_Calc[[#This Row],[Team]]</f>
        <v/>
      </c>
      <c r="N7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4" spans="11:14" x14ac:dyDescent="0.2">
      <c r="K74" s="6"/>
      <c r="M74" t="str">
        <f t="array" ref="M74">WP_Calc[[#This Row],[Team]]</f>
        <v/>
      </c>
      <c r="N7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5" spans="11:14" x14ac:dyDescent="0.2">
      <c r="K75" s="6"/>
      <c r="M75" t="str">
        <f t="array" ref="M75">WP_Calc[[#This Row],[Team]]</f>
        <v/>
      </c>
      <c r="N7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6" spans="11:14" x14ac:dyDescent="0.2">
      <c r="K76" s="6"/>
      <c r="M76" t="str">
        <f t="array" ref="M76">WP_Calc[[#This Row],[Team]]</f>
        <v/>
      </c>
      <c r="N7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7" spans="11:14" x14ac:dyDescent="0.2">
      <c r="K77" s="6"/>
      <c r="M77" t="str">
        <f t="array" ref="M77">WP_Calc[[#This Row],[Team]]</f>
        <v/>
      </c>
      <c r="N7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8" spans="11:14" x14ac:dyDescent="0.2">
      <c r="K78" s="6"/>
      <c r="M78" t="str">
        <f t="array" ref="M78">WP_Calc[[#This Row],[Team]]</f>
        <v/>
      </c>
      <c r="N7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79" spans="11:14" x14ac:dyDescent="0.2">
      <c r="K79" s="6"/>
      <c r="M79" t="str">
        <f t="array" ref="M79">WP_Calc[[#This Row],[Team]]</f>
        <v/>
      </c>
      <c r="N7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0" spans="11:14" x14ac:dyDescent="0.2">
      <c r="K80" s="6"/>
      <c r="M80" t="str">
        <f t="array" ref="M80">WP_Calc[[#This Row],[Team]]</f>
        <v/>
      </c>
      <c r="N8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1" spans="11:14" x14ac:dyDescent="0.2">
      <c r="K81" s="6"/>
      <c r="M81" t="str">
        <f t="array" ref="M81">WP_Calc[[#This Row],[Team]]</f>
        <v/>
      </c>
      <c r="N8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2" spans="11:14" x14ac:dyDescent="0.2">
      <c r="K82" s="6"/>
      <c r="M82" t="str">
        <f t="array" ref="M82">WP_Calc[[#This Row],[Team]]</f>
        <v/>
      </c>
      <c r="N8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3" spans="11:14" x14ac:dyDescent="0.2">
      <c r="K83" s="6"/>
      <c r="M83" t="str">
        <f t="array" ref="M83">WP_Calc[[#This Row],[Team]]</f>
        <v/>
      </c>
      <c r="N8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4" spans="11:14" x14ac:dyDescent="0.2">
      <c r="K84" s="6"/>
      <c r="M84" t="str">
        <f t="array" ref="M84">WP_Calc[[#This Row],[Team]]</f>
        <v/>
      </c>
      <c r="N8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5" spans="11:14" x14ac:dyDescent="0.2">
      <c r="K85" s="6"/>
      <c r="M85" t="str">
        <f t="array" ref="M85">WP_Calc[[#This Row],[Team]]</f>
        <v/>
      </c>
      <c r="N8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6" spans="11:14" x14ac:dyDescent="0.2">
      <c r="K86" s="6"/>
      <c r="M86" t="str">
        <f t="array" ref="M86">WP_Calc[[#This Row],[Team]]</f>
        <v/>
      </c>
      <c r="N8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7" spans="11:14" x14ac:dyDescent="0.2">
      <c r="K87" s="6"/>
      <c r="M87" t="str">
        <f t="array" ref="M87">WP_Calc[[#This Row],[Team]]</f>
        <v/>
      </c>
      <c r="N8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8" spans="11:14" x14ac:dyDescent="0.2">
      <c r="K88" s="6"/>
      <c r="M88" t="str">
        <f t="array" ref="M88">WP_Calc[[#This Row],[Team]]</f>
        <v/>
      </c>
      <c r="N8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89" spans="11:14" x14ac:dyDescent="0.2">
      <c r="K89" s="6"/>
      <c r="M89" t="str">
        <f t="array" ref="M89">WP_Calc[[#This Row],[Team]]</f>
        <v/>
      </c>
      <c r="N8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0" spans="11:14" x14ac:dyDescent="0.2">
      <c r="K90" s="6"/>
      <c r="M90" t="str">
        <f t="array" ref="M90">WP_Calc[[#This Row],[Team]]</f>
        <v/>
      </c>
      <c r="N9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1" spans="11:14" x14ac:dyDescent="0.2">
      <c r="K91" s="6"/>
      <c r="M91" t="str">
        <f t="array" ref="M91">WP_Calc[[#This Row],[Team]]</f>
        <v/>
      </c>
      <c r="N9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2" spans="11:14" x14ac:dyDescent="0.2">
      <c r="K92" s="6"/>
      <c r="M92" t="str">
        <f t="array" ref="M92">WP_Calc[[#This Row],[Team]]</f>
        <v/>
      </c>
      <c r="N9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3" spans="11:14" x14ac:dyDescent="0.2">
      <c r="K93" s="6"/>
      <c r="M93" t="str">
        <f t="array" ref="M93">WP_Calc[[#This Row],[Team]]</f>
        <v/>
      </c>
      <c r="N9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4" spans="11:14" x14ac:dyDescent="0.2">
      <c r="K94" s="6"/>
      <c r="M94" t="str">
        <f t="array" ref="M94">WP_Calc[[#This Row],[Team]]</f>
        <v/>
      </c>
      <c r="N9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5" spans="11:14" x14ac:dyDescent="0.2">
      <c r="K95" s="6"/>
      <c r="M95" t="str">
        <f t="array" ref="M95">WP_Calc[[#This Row],[Team]]</f>
        <v/>
      </c>
      <c r="N9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6" spans="11:14" x14ac:dyDescent="0.2">
      <c r="K96" s="6"/>
      <c r="M96" t="str">
        <f t="array" ref="M96">WP_Calc[[#This Row],[Team]]</f>
        <v/>
      </c>
      <c r="N9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7" spans="11:14" x14ac:dyDescent="0.2">
      <c r="K97" s="6"/>
      <c r="M97" t="str">
        <f t="array" ref="M97">WP_Calc[[#This Row],[Team]]</f>
        <v/>
      </c>
      <c r="N9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8" spans="11:14" x14ac:dyDescent="0.2">
      <c r="K98" s="6"/>
      <c r="M98" t="str">
        <f t="array" ref="M98">WP_Calc[[#This Row],[Team]]</f>
        <v/>
      </c>
      <c r="N9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99" spans="11:14" x14ac:dyDescent="0.2">
      <c r="K99" s="6"/>
      <c r="M99" t="str">
        <f t="array" ref="M99">WP_Calc[[#This Row],[Team]]</f>
        <v/>
      </c>
      <c r="N9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0" spans="11:14" x14ac:dyDescent="0.2">
      <c r="K100" s="6"/>
      <c r="M100" t="str">
        <f t="array" ref="M100">WP_Calc[[#This Row],[Team]]</f>
        <v/>
      </c>
      <c r="N10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1" spans="11:14" x14ac:dyDescent="0.2">
      <c r="K101" s="6"/>
      <c r="M101" t="str">
        <f t="array" ref="M101">WP_Calc[[#This Row],[Team]]</f>
        <v/>
      </c>
      <c r="N10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2" spans="11:14" x14ac:dyDescent="0.2">
      <c r="K102" s="6"/>
      <c r="M102" t="str">
        <f t="array" ref="M102">WP_Calc[[#This Row],[Team]]</f>
        <v/>
      </c>
      <c r="N10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3" spans="11:14" x14ac:dyDescent="0.2">
      <c r="K103" s="6"/>
      <c r="M103" t="str">
        <f t="array" ref="M103">WP_Calc[[#This Row],[Team]]</f>
        <v/>
      </c>
      <c r="N10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4" spans="11:14" x14ac:dyDescent="0.2">
      <c r="K104" s="6"/>
      <c r="M104" t="str">
        <f t="array" ref="M104">WP_Calc[[#This Row],[Team]]</f>
        <v/>
      </c>
      <c r="N10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5" spans="11:14" x14ac:dyDescent="0.2">
      <c r="K105" s="6"/>
      <c r="M105" t="str">
        <f t="array" ref="M105">WP_Calc[[#This Row],[Team]]</f>
        <v/>
      </c>
      <c r="N10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6" spans="11:14" x14ac:dyDescent="0.2">
      <c r="K106" s="6"/>
      <c r="M106" t="str">
        <f t="array" ref="M106">WP_Calc[[#This Row],[Team]]</f>
        <v/>
      </c>
      <c r="N10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7" spans="11:14" x14ac:dyDescent="0.2">
      <c r="K107" s="6"/>
      <c r="M107" t="str">
        <f t="array" ref="M107">WP_Calc[[#This Row],[Team]]</f>
        <v/>
      </c>
      <c r="N10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8" spans="11:14" x14ac:dyDescent="0.2">
      <c r="K108" s="6"/>
      <c r="M108" t="str">
        <f t="array" ref="M108">WP_Calc[[#This Row],[Team]]</f>
        <v/>
      </c>
      <c r="N10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09" spans="11:14" x14ac:dyDescent="0.2">
      <c r="K109" s="6"/>
      <c r="M109" t="str">
        <f t="array" ref="M109">WP_Calc[[#This Row],[Team]]</f>
        <v/>
      </c>
      <c r="N10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0" spans="11:14" x14ac:dyDescent="0.2">
      <c r="K110" s="6"/>
      <c r="M110" t="str">
        <f t="array" ref="M110">WP_Calc[[#This Row],[Team]]</f>
        <v/>
      </c>
      <c r="N11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1" spans="11:14" x14ac:dyDescent="0.2">
      <c r="K111" s="6"/>
      <c r="M111" t="str">
        <f t="array" ref="M111">WP_Calc[[#This Row],[Team]]</f>
        <v/>
      </c>
      <c r="N11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2" spans="11:14" x14ac:dyDescent="0.2">
      <c r="K112" s="6"/>
      <c r="M112" t="str">
        <f t="array" ref="M112">WP_Calc[[#This Row],[Team]]</f>
        <v/>
      </c>
      <c r="N11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3" spans="11:14" x14ac:dyDescent="0.2">
      <c r="K113" s="6"/>
      <c r="M113" t="str">
        <f t="array" ref="M113">WP_Calc[[#This Row],[Team]]</f>
        <v/>
      </c>
      <c r="N11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4" spans="11:14" x14ac:dyDescent="0.2">
      <c r="K114" s="6"/>
      <c r="M114" t="str">
        <f t="array" ref="M114">WP_Calc[[#This Row],[Team]]</f>
        <v/>
      </c>
      <c r="N11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5" spans="11:14" x14ac:dyDescent="0.2">
      <c r="K115" s="6"/>
      <c r="M115" t="str">
        <f t="array" ref="M115">WP_Calc[[#This Row],[Team]]</f>
        <v/>
      </c>
      <c r="N11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6" spans="11:14" x14ac:dyDescent="0.2">
      <c r="K116" s="6"/>
      <c r="M116" t="str">
        <f t="array" ref="M116">WP_Calc[[#This Row],[Team]]</f>
        <v/>
      </c>
      <c r="N11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7" spans="11:14" x14ac:dyDescent="0.2">
      <c r="M117" t="str">
        <f t="array" ref="M117">WP_Calc[[#This Row],[Team]]</f>
        <v/>
      </c>
      <c r="N11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8" spans="11:14" x14ac:dyDescent="0.2">
      <c r="M118" t="str">
        <f t="array" ref="M118">WP_Calc[[#This Row],[Team]]</f>
        <v/>
      </c>
      <c r="N11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19" spans="11:14" x14ac:dyDescent="0.2">
      <c r="M119" t="str">
        <f t="array" ref="M119">WP_Calc[[#This Row],[Team]]</f>
        <v/>
      </c>
      <c r="N11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0" spans="11:14" x14ac:dyDescent="0.2">
      <c r="M120" t="str">
        <f t="array" ref="M120">WP_Calc[[#This Row],[Team]]</f>
        <v/>
      </c>
      <c r="N12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1" spans="11:14" x14ac:dyDescent="0.2">
      <c r="M121" t="str">
        <f t="array" ref="M121">WP_Calc[[#This Row],[Team]]</f>
        <v/>
      </c>
      <c r="N12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2" spans="11:14" x14ac:dyDescent="0.2">
      <c r="M122" t="str">
        <f t="array" ref="M122">WP_Calc[[#This Row],[Team]]</f>
        <v/>
      </c>
      <c r="N12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3" spans="11:14" x14ac:dyDescent="0.2">
      <c r="M123" t="str">
        <f t="array" ref="M123">WP_Calc[[#This Row],[Team]]</f>
        <v/>
      </c>
      <c r="N12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4" spans="11:14" x14ac:dyDescent="0.2">
      <c r="M124" t="str">
        <f t="array" ref="M124">WP_Calc[[#This Row],[Team]]</f>
        <v/>
      </c>
      <c r="N12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5" spans="11:14" x14ac:dyDescent="0.2">
      <c r="M125" t="str">
        <f t="array" ref="M125">WP_Calc[[#This Row],[Team]]</f>
        <v/>
      </c>
      <c r="N12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6" spans="11:14" x14ac:dyDescent="0.2">
      <c r="M126" t="str">
        <f t="array" ref="M126">WP_Calc[[#This Row],[Team]]</f>
        <v/>
      </c>
      <c r="N12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7" spans="11:14" x14ac:dyDescent="0.2">
      <c r="M127" t="str">
        <f t="array" ref="M127">WP_Calc[[#This Row],[Team]]</f>
        <v/>
      </c>
      <c r="N12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8" spans="11:14" x14ac:dyDescent="0.2">
      <c r="M128" t="str">
        <f t="array" ref="M128">WP_Calc[[#This Row],[Team]]</f>
        <v/>
      </c>
      <c r="N12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29" spans="13:14" x14ac:dyDescent="0.2">
      <c r="M129" t="str">
        <f t="array" ref="M129">WP_Calc[[#This Row],[Team]]</f>
        <v/>
      </c>
      <c r="N12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0" spans="13:14" x14ac:dyDescent="0.2">
      <c r="M130" t="str">
        <f t="array" ref="M130">WP_Calc[[#This Row],[Team]]</f>
        <v/>
      </c>
      <c r="N13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1" spans="13:14" x14ac:dyDescent="0.2">
      <c r="M131" t="str">
        <f t="array" ref="M131">WP_Calc[[#This Row],[Team]]</f>
        <v/>
      </c>
      <c r="N13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2" spans="13:14" x14ac:dyDescent="0.2">
      <c r="M132" t="str">
        <f t="array" ref="M132">WP_Calc[[#This Row],[Team]]</f>
        <v/>
      </c>
      <c r="N13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3" spans="13:14" x14ac:dyDescent="0.2">
      <c r="M133" t="str">
        <f t="array" ref="M133">WP_Calc[[#This Row],[Team]]</f>
        <v/>
      </c>
      <c r="N13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4" spans="13:14" x14ac:dyDescent="0.2">
      <c r="M134" t="str">
        <f t="array" ref="M134">WP_Calc[[#This Row],[Team]]</f>
        <v/>
      </c>
      <c r="N13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5" spans="13:14" x14ac:dyDescent="0.2">
      <c r="M135" t="str">
        <f t="array" ref="M135">WP_Calc[[#This Row],[Team]]</f>
        <v/>
      </c>
      <c r="N13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6" spans="13:14" x14ac:dyDescent="0.2">
      <c r="M136" t="str">
        <f t="array" ref="M136">WP_Calc[[#This Row],[Team]]</f>
        <v/>
      </c>
      <c r="N13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7" spans="13:14" x14ac:dyDescent="0.2">
      <c r="M137" t="str">
        <f t="array" ref="M137">WP_Calc[[#This Row],[Team]]</f>
        <v/>
      </c>
      <c r="N13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8" spans="13:14" x14ac:dyDescent="0.2">
      <c r="M138" t="str">
        <f t="array" ref="M138">WP_Calc[[#This Row],[Team]]</f>
        <v/>
      </c>
      <c r="N13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39" spans="13:14" x14ac:dyDescent="0.2">
      <c r="M139" t="str">
        <f t="array" ref="M139">WP_Calc[[#This Row],[Team]]</f>
        <v/>
      </c>
      <c r="N13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0" spans="13:14" x14ac:dyDescent="0.2">
      <c r="M140" t="str">
        <f t="array" ref="M140">WP_Calc[[#This Row],[Team]]</f>
        <v/>
      </c>
      <c r="N14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1" spans="13:14" x14ac:dyDescent="0.2">
      <c r="M141" t="str">
        <f t="array" ref="M141">WP_Calc[[#This Row],[Team]]</f>
        <v/>
      </c>
      <c r="N14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2" spans="13:14" x14ac:dyDescent="0.2">
      <c r="M142" t="str">
        <f t="array" ref="M142">WP_Calc[[#This Row],[Team]]</f>
        <v/>
      </c>
      <c r="N14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3" spans="13:14" x14ac:dyDescent="0.2">
      <c r="M143" t="str">
        <f t="array" ref="M143">WP_Calc[[#This Row],[Team]]</f>
        <v/>
      </c>
      <c r="N14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4" spans="13:14" x14ac:dyDescent="0.2">
      <c r="M144" t="str">
        <f t="array" ref="M144">WP_Calc[[#This Row],[Team]]</f>
        <v/>
      </c>
      <c r="N14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5" spans="13:14" x14ac:dyDescent="0.2">
      <c r="M145" t="str">
        <f t="array" ref="M145">WP_Calc[[#This Row],[Team]]</f>
        <v/>
      </c>
      <c r="N14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6" spans="13:14" x14ac:dyDescent="0.2">
      <c r="M146" t="str">
        <f t="array" ref="M146">WP_Calc[[#This Row],[Team]]</f>
        <v/>
      </c>
      <c r="N14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7" spans="13:14" x14ac:dyDescent="0.2">
      <c r="M147" t="str">
        <f t="array" ref="M147">WP_Calc[[#This Row],[Team]]</f>
        <v/>
      </c>
      <c r="N14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8" spans="13:14" x14ac:dyDescent="0.2">
      <c r="M148" t="str">
        <f t="array" ref="M148">WP_Calc[[#This Row],[Team]]</f>
        <v/>
      </c>
      <c r="N14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49" spans="13:14" x14ac:dyDescent="0.2">
      <c r="M149" t="str">
        <f t="array" ref="M149">WP_Calc[[#This Row],[Team]]</f>
        <v/>
      </c>
      <c r="N14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0" spans="13:14" x14ac:dyDescent="0.2">
      <c r="M150" t="str">
        <f t="array" ref="M150">WP_Calc[[#This Row],[Team]]</f>
        <v/>
      </c>
      <c r="N15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1" spans="13:14" x14ac:dyDescent="0.2">
      <c r="M151" t="str">
        <f t="array" ref="M151">WP_Calc[[#This Row],[Team]]</f>
        <v/>
      </c>
      <c r="N15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2" spans="13:14" x14ac:dyDescent="0.2">
      <c r="M152" t="str">
        <f t="array" ref="M152">WP_Calc[[#This Row],[Team]]</f>
        <v/>
      </c>
      <c r="N15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3" spans="13:14" x14ac:dyDescent="0.2">
      <c r="M153" t="str">
        <f t="array" ref="M153">WP_Calc[[#This Row],[Team]]</f>
        <v/>
      </c>
      <c r="N15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4" spans="13:14" x14ac:dyDescent="0.2">
      <c r="M154" t="str">
        <f t="array" ref="M154">WP_Calc[[#This Row],[Team]]</f>
        <v/>
      </c>
      <c r="N15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5" spans="13:14" x14ac:dyDescent="0.2">
      <c r="M155" t="str">
        <f t="array" ref="M155">WP_Calc[[#This Row],[Team]]</f>
        <v/>
      </c>
      <c r="N15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6" spans="13:14" x14ac:dyDescent="0.2">
      <c r="M156" t="str">
        <f t="array" ref="M156">WP_Calc[[#This Row],[Team]]</f>
        <v/>
      </c>
      <c r="N15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7" spans="13:14" x14ac:dyDescent="0.2">
      <c r="M157" t="str">
        <f t="array" ref="M157">WP_Calc[[#This Row],[Team]]</f>
        <v/>
      </c>
      <c r="N15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8" spans="13:14" x14ac:dyDescent="0.2">
      <c r="M158" t="str">
        <f t="array" ref="M158">WP_Calc[[#This Row],[Team]]</f>
        <v/>
      </c>
      <c r="N15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59" spans="13:14" x14ac:dyDescent="0.2">
      <c r="M159" t="str">
        <f t="array" ref="M159">WP_Calc[[#This Row],[Team]]</f>
        <v/>
      </c>
      <c r="N15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0" spans="13:14" x14ac:dyDescent="0.2">
      <c r="M160" t="str">
        <f t="array" ref="M160">WP_Calc[[#This Row],[Team]]</f>
        <v/>
      </c>
      <c r="N16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1" spans="13:14" x14ac:dyDescent="0.2">
      <c r="M161" t="str">
        <f t="array" ref="M161">WP_Calc[[#This Row],[Team]]</f>
        <v/>
      </c>
      <c r="N16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2" spans="13:14" x14ac:dyDescent="0.2">
      <c r="M162" t="str">
        <f t="array" ref="M162">WP_Calc[[#This Row],[Team]]</f>
        <v/>
      </c>
      <c r="N16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3" spans="13:14" x14ac:dyDescent="0.2">
      <c r="M163" t="str">
        <f t="array" ref="M163">WP_Calc[[#This Row],[Team]]</f>
        <v/>
      </c>
      <c r="N16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4" spans="13:14" x14ac:dyDescent="0.2">
      <c r="M164" t="str">
        <f t="array" ref="M164">WP_Calc[[#This Row],[Team]]</f>
        <v/>
      </c>
      <c r="N16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5" spans="13:14" x14ac:dyDescent="0.2">
      <c r="M165" t="str">
        <f t="array" ref="M165">WP_Calc[[#This Row],[Team]]</f>
        <v/>
      </c>
      <c r="N16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6" spans="13:14" x14ac:dyDescent="0.2">
      <c r="M166" t="str">
        <f t="array" ref="M166">WP_Calc[[#This Row],[Team]]</f>
        <v/>
      </c>
      <c r="N16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7" spans="13:14" x14ac:dyDescent="0.2">
      <c r="M167" t="str">
        <f t="array" ref="M167">WP_Calc[[#This Row],[Team]]</f>
        <v/>
      </c>
      <c r="N16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8" spans="13:14" x14ac:dyDescent="0.2">
      <c r="M168" t="str">
        <f t="array" ref="M168">WP_Calc[[#This Row],[Team]]</f>
        <v/>
      </c>
      <c r="N16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69" spans="13:14" x14ac:dyDescent="0.2">
      <c r="M169" t="str">
        <f t="array" ref="M169">WP_Calc[[#This Row],[Team]]</f>
        <v/>
      </c>
      <c r="N16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0" spans="13:14" x14ac:dyDescent="0.2">
      <c r="M170" t="str">
        <f t="array" ref="M170">WP_Calc[[#This Row],[Team]]</f>
        <v/>
      </c>
      <c r="N17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1" spans="13:14" x14ac:dyDescent="0.2">
      <c r="M171" t="str">
        <f t="array" ref="M171">WP_Calc[[#This Row],[Team]]</f>
        <v/>
      </c>
      <c r="N17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2" spans="13:14" x14ac:dyDescent="0.2">
      <c r="M172" t="str">
        <f t="array" ref="M172">WP_Calc[[#This Row],[Team]]</f>
        <v/>
      </c>
      <c r="N17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3" spans="13:14" x14ac:dyDescent="0.2">
      <c r="M173" t="str">
        <f t="array" ref="M173">WP_Calc[[#This Row],[Team]]</f>
        <v/>
      </c>
      <c r="N17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4" spans="13:14" x14ac:dyDescent="0.2">
      <c r="M174" t="str">
        <f t="array" ref="M174">WP_Calc[[#This Row],[Team]]</f>
        <v/>
      </c>
      <c r="N17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5" spans="13:14" x14ac:dyDescent="0.2">
      <c r="M175" t="str">
        <f t="array" ref="M175">WP_Calc[[#This Row],[Team]]</f>
        <v/>
      </c>
      <c r="N17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6" spans="13:14" x14ac:dyDescent="0.2">
      <c r="M176" t="str">
        <f t="array" ref="M176">WP_Calc[[#This Row],[Team]]</f>
        <v/>
      </c>
      <c r="N17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7" spans="13:14" x14ac:dyDescent="0.2">
      <c r="M177" t="str">
        <f t="array" ref="M177">WP_Calc[[#This Row],[Team]]</f>
        <v/>
      </c>
      <c r="N17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8" spans="13:14" x14ac:dyDescent="0.2">
      <c r="M178" t="str">
        <f t="array" ref="M178">WP_Calc[[#This Row],[Team]]</f>
        <v/>
      </c>
      <c r="N17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79" spans="13:14" x14ac:dyDescent="0.2">
      <c r="M179" t="str">
        <f t="array" ref="M179">WP_Calc[[#This Row],[Team]]</f>
        <v/>
      </c>
      <c r="N17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0" spans="13:14" x14ac:dyDescent="0.2">
      <c r="M180" t="str">
        <f t="array" ref="M180">WP_Calc[[#This Row],[Team]]</f>
        <v/>
      </c>
      <c r="N18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1" spans="13:14" x14ac:dyDescent="0.2">
      <c r="M181" t="str">
        <f t="array" ref="M181">WP_Calc[[#This Row],[Team]]</f>
        <v/>
      </c>
      <c r="N18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2" spans="13:14" x14ac:dyDescent="0.2">
      <c r="M182" t="str">
        <f t="array" ref="M182">WP_Calc[[#This Row],[Team]]</f>
        <v/>
      </c>
      <c r="N18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3" spans="13:14" x14ac:dyDescent="0.2">
      <c r="M183" t="str">
        <f t="array" ref="M183">WP_Calc[[#This Row],[Team]]</f>
        <v/>
      </c>
      <c r="N18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4" spans="13:14" x14ac:dyDescent="0.2">
      <c r="M184" t="str">
        <f t="array" ref="M184">WP_Calc[[#This Row],[Team]]</f>
        <v/>
      </c>
      <c r="N18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5" spans="13:14" x14ac:dyDescent="0.2">
      <c r="M185" t="str">
        <f t="array" ref="M185">WP_Calc[[#This Row],[Team]]</f>
        <v/>
      </c>
      <c r="N18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6" spans="13:14" x14ac:dyDescent="0.2">
      <c r="M186" t="str">
        <f t="array" ref="M186">WP_Calc[[#This Row],[Team]]</f>
        <v/>
      </c>
      <c r="N18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7" spans="13:14" x14ac:dyDescent="0.2">
      <c r="M187" t="str">
        <f t="array" ref="M187">WP_Calc[[#This Row],[Team]]</f>
        <v/>
      </c>
      <c r="N18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8" spans="13:14" x14ac:dyDescent="0.2">
      <c r="M188" t="str">
        <f t="array" ref="M188">WP_Calc[[#This Row],[Team]]</f>
        <v/>
      </c>
      <c r="N18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89" spans="13:14" x14ac:dyDescent="0.2">
      <c r="M189" t="str">
        <f t="array" ref="M189">WP_Calc[[#This Row],[Team]]</f>
        <v/>
      </c>
      <c r="N18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0" spans="13:14" x14ac:dyDescent="0.2">
      <c r="M190" t="str">
        <f t="array" ref="M190">WP_Calc[[#This Row],[Team]]</f>
        <v/>
      </c>
      <c r="N19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1" spans="13:14" x14ac:dyDescent="0.2">
      <c r="M191" t="str">
        <f t="array" ref="M191">WP_Calc[[#This Row],[Team]]</f>
        <v/>
      </c>
      <c r="N19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2" spans="13:14" x14ac:dyDescent="0.2">
      <c r="M192" t="str">
        <f t="array" ref="M192">WP_Calc[[#This Row],[Team]]</f>
        <v/>
      </c>
      <c r="N19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3" spans="13:14" x14ac:dyDescent="0.2">
      <c r="M193" t="str">
        <f t="array" ref="M193">WP_Calc[[#This Row],[Team]]</f>
        <v/>
      </c>
      <c r="N193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4" spans="13:14" x14ac:dyDescent="0.2">
      <c r="M194" t="str">
        <f t="array" ref="M194">WP_Calc[[#This Row],[Team]]</f>
        <v/>
      </c>
      <c r="N194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5" spans="13:14" x14ac:dyDescent="0.2">
      <c r="M195" t="str">
        <f t="array" ref="M195">WP_Calc[[#This Row],[Team]]</f>
        <v/>
      </c>
      <c r="N195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6" spans="13:14" x14ac:dyDescent="0.2">
      <c r="M196" t="str">
        <f t="array" ref="M196">WP_Calc[[#This Row],[Team]]</f>
        <v/>
      </c>
      <c r="N196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7" spans="13:14" x14ac:dyDescent="0.2">
      <c r="M197" t="str">
        <f t="array" ref="M197">WP_Calc[[#This Row],[Team]]</f>
        <v/>
      </c>
      <c r="N197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8" spans="13:14" x14ac:dyDescent="0.2">
      <c r="M198" t="str">
        <f t="array" ref="M198">WP_Calc[[#This Row],[Team]]</f>
        <v/>
      </c>
      <c r="N198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199" spans="13:14" x14ac:dyDescent="0.2">
      <c r="M199" t="str">
        <f t="array" ref="M199">WP_Calc[[#This Row],[Team]]</f>
        <v/>
      </c>
      <c r="N199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00" spans="13:14" x14ac:dyDescent="0.2">
      <c r="M200" t="str">
        <f t="array" ref="M200">WP_Calc[[#This Row],[Team]]</f>
        <v/>
      </c>
      <c r="N200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01" spans="13:14" x14ac:dyDescent="0.2">
      <c r="M201" t="str">
        <f t="array" ref="M201">WP_Calc[[#This Row],[Team]]</f>
        <v/>
      </c>
      <c r="N201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  <row r="202" spans="13:14" x14ac:dyDescent="0.2">
      <c r="M202" t="str">
        <f t="array" ref="M202">WP_Calc[[#This Row],[Team]]</f>
        <v/>
      </c>
      <c r="N202" s="6" t="e">
        <f>(IFERROR(GETPIVOTDATA("Sum of G * L WP",$A$1,"W Team",OWP_Calc[[#This Row],[Team]]),0)+IFERROR(GETPIVOTDATA("Sum of G * W WP",$G$1,"L Team",OWP_Calc[[#This Row],[Team]]),0))/(IFERROR(GETPIVOTDATA("Count of W Team",$A$1,"W Team",OWP_Calc[[#This Row],[Team]]),0)+IFERROR(GETPIVOTDATA("Count of L Team",$G$1,"L Team",OWP_Calc[[#This Row],[Team]]),0))</f>
        <v>#DIV/0!</v>
      </c>
    </row>
  </sheetData>
  <pageMargins left="0.7" right="0.7" top="0.75" bottom="0.75" header="0.3" footer="0.3"/>
  <pageSetup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612"/>
  <sheetViews>
    <sheetView zoomScale="85" zoomScaleNormal="85" zoomScalePageLayoutView="85" workbookViewId="0">
      <pane ySplit="1" topLeftCell="A2" activePane="bottomLeft" state="frozen"/>
      <selection pane="bottomLeft" activeCell="F2" sqref="F2"/>
    </sheetView>
  </sheetViews>
  <sheetFormatPr baseColWidth="10" defaultColWidth="9" defaultRowHeight="15" x14ac:dyDescent="0.2"/>
  <cols>
    <col min="1" max="1" width="16.33203125" customWidth="1"/>
    <col min="2" max="2" width="11.6640625" customWidth="1"/>
    <col min="3" max="3" width="8.6640625" style="5" customWidth="1"/>
    <col min="4" max="5" width="2.1640625" customWidth="1"/>
    <col min="6" max="6" width="16.33203125" customWidth="1"/>
    <col min="7" max="7" width="11.6640625" customWidth="1"/>
    <col min="8" max="9" width="8.6640625" style="5" customWidth="1"/>
    <col min="10" max="10" width="31.5" style="13" bestFit="1" customWidth="1"/>
    <col min="11" max="11" width="9" style="6"/>
  </cols>
  <sheetData>
    <row r="1" spans="1:11" s="9" customFormat="1" ht="30" x14ac:dyDescent="0.2">
      <c r="A1" s="8" t="s">
        <v>0</v>
      </c>
      <c r="B1" s="10" t="s">
        <v>26</v>
      </c>
      <c r="C1" s="12" t="s">
        <v>9</v>
      </c>
      <c r="F1" s="8" t="s">
        <v>2</v>
      </c>
      <c r="G1" s="10" t="s">
        <v>26</v>
      </c>
      <c r="H1" s="12" t="s">
        <v>9</v>
      </c>
      <c r="I1"/>
      <c r="J1" t="s">
        <v>22</v>
      </c>
      <c r="K1" s="11" t="s">
        <v>7</v>
      </c>
    </row>
    <row r="2" spans="1:11" x14ac:dyDescent="0.2">
      <c r="A2" t="s">
        <v>27</v>
      </c>
      <c r="B2" s="6" t="e">
        <v>#DIV/0!</v>
      </c>
      <c r="C2" s="13"/>
      <c r="F2" t="s">
        <v>27</v>
      </c>
      <c r="G2" s="6" t="e">
        <v>#DIV/0!</v>
      </c>
      <c r="H2" s="13"/>
      <c r="I2"/>
      <c r="J2" t="str">
        <f>OWP_Calc[[#This Row],[Team]]</f>
        <v>(blank)</v>
      </c>
      <c r="K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" spans="1:11" x14ac:dyDescent="0.2">
      <c r="A3" t="s">
        <v>28</v>
      </c>
      <c r="B3" s="6">
        <v>1.96</v>
      </c>
      <c r="C3" s="13">
        <v>4</v>
      </c>
      <c r="F3" t="s">
        <v>29</v>
      </c>
      <c r="G3" s="6">
        <v>2.6500000000000004</v>
      </c>
      <c r="H3" s="13">
        <v>5</v>
      </c>
      <c r="I3"/>
      <c r="J3" t="str">
        <f>OWP_Calc[[#This Row],[Team]]</f>
        <v>West Texas</v>
      </c>
      <c r="K3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0.48399999999999999</v>
      </c>
    </row>
    <row r="4" spans="1:11" x14ac:dyDescent="0.2">
      <c r="A4" t="s">
        <v>30</v>
      </c>
      <c r="B4" s="6">
        <v>2.4699999999999998</v>
      </c>
      <c r="C4" s="13">
        <v>5</v>
      </c>
      <c r="F4" t="s">
        <v>31</v>
      </c>
      <c r="G4" s="6">
        <v>2.35</v>
      </c>
      <c r="H4" s="13">
        <v>5</v>
      </c>
      <c r="I4"/>
      <c r="J4" t="str">
        <f>OWP_Calc[[#This Row],[Team]]</f>
        <v>Deutschtown</v>
      </c>
      <c r="K4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0.48200000000000004</v>
      </c>
    </row>
    <row r="5" spans="1:11" x14ac:dyDescent="0.2">
      <c r="A5" t="s">
        <v>33</v>
      </c>
      <c r="B5" s="6">
        <v>1.53</v>
      </c>
      <c r="C5" s="13">
        <v>3</v>
      </c>
      <c r="F5" t="s">
        <v>32</v>
      </c>
      <c r="G5" s="6">
        <v>3.4300000000000006</v>
      </c>
      <c r="H5" s="13">
        <v>7</v>
      </c>
      <c r="I5"/>
      <c r="J5" t="str">
        <f>OWP_Calc[[#This Row],[Team]]</f>
        <v>Erie Tech</v>
      </c>
      <c r="K5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0.503</v>
      </c>
    </row>
    <row r="6" spans="1:11" x14ac:dyDescent="0.2">
      <c r="A6" t="s">
        <v>34</v>
      </c>
      <c r="B6" s="6">
        <v>4.01</v>
      </c>
      <c r="C6" s="13">
        <v>8</v>
      </c>
      <c r="F6" t="s">
        <v>35</v>
      </c>
      <c r="G6" s="6">
        <v>1.44</v>
      </c>
      <c r="H6" s="13">
        <v>3</v>
      </c>
      <c r="I6"/>
      <c r="J6" t="str">
        <f>OWP_Calc[[#This Row],[Team]]</f>
        <v>Calvert</v>
      </c>
      <c r="K6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0.5069999999999999</v>
      </c>
    </row>
    <row r="7" spans="1:11" x14ac:dyDescent="0.2">
      <c r="A7" t="s">
        <v>36</v>
      </c>
      <c r="B7" s="6">
        <v>3.03</v>
      </c>
      <c r="C7" s="13">
        <v>6</v>
      </c>
      <c r="F7" t="s">
        <v>37</v>
      </c>
      <c r="G7" s="6">
        <v>4.589999999999999</v>
      </c>
      <c r="H7" s="13">
        <v>9</v>
      </c>
      <c r="I7"/>
      <c r="J7" t="str">
        <f>OWP_Calc[[#This Row],[Team]]</f>
        <v>Irvington</v>
      </c>
      <c r="K7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0.49099999999999994</v>
      </c>
    </row>
    <row r="8" spans="1:11" x14ac:dyDescent="0.2">
      <c r="A8" t="s">
        <v>38</v>
      </c>
      <c r="B8" s="6">
        <v>1.9</v>
      </c>
      <c r="C8" s="13">
        <v>4</v>
      </c>
      <c r="F8" t="s">
        <v>39</v>
      </c>
      <c r="G8" s="6">
        <v>3.1800000000000006</v>
      </c>
      <c r="H8" s="13">
        <v>6</v>
      </c>
      <c r="I8"/>
      <c r="J8" t="str">
        <f>OWP_Calc[[#This Row],[Team]]</f>
        <v>Kentucky Tech</v>
      </c>
      <c r="K8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0.45999999999999996</v>
      </c>
    </row>
    <row r="9" spans="1:11" x14ac:dyDescent="0.2">
      <c r="A9" t="s">
        <v>40</v>
      </c>
      <c r="B9" s="6">
        <v>4.080000000000001</v>
      </c>
      <c r="C9" s="13">
        <v>8</v>
      </c>
      <c r="F9" t="s">
        <v>41</v>
      </c>
      <c r="G9" s="6">
        <v>3.24</v>
      </c>
      <c r="H9" s="13">
        <v>6</v>
      </c>
      <c r="I9"/>
      <c r="J9" t="str">
        <f>OWP_Calc[[#This Row],[Team]]</f>
        <v>Lakeshore</v>
      </c>
      <c r="K9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0.49400000000000011</v>
      </c>
    </row>
    <row r="10" spans="1:11" x14ac:dyDescent="0.2">
      <c r="A10" t="s">
        <v>42</v>
      </c>
      <c r="B10" s="6">
        <v>3.55</v>
      </c>
      <c r="C10" s="13">
        <v>7</v>
      </c>
      <c r="F10" t="s">
        <v>43</v>
      </c>
      <c r="G10" s="6">
        <v>2.7</v>
      </c>
      <c r="H10" s="13">
        <v>5</v>
      </c>
      <c r="I10"/>
      <c r="J10" t="str">
        <f>OWP_Calc[[#This Row],[Team]]</f>
        <v>California A&amp;M</v>
      </c>
      <c r="K10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0.51700000000000002</v>
      </c>
    </row>
    <row r="11" spans="1:11" x14ac:dyDescent="0.2">
      <c r="A11" t="s">
        <v>44</v>
      </c>
      <c r="B11" s="6">
        <v>3.42</v>
      </c>
      <c r="C11" s="13">
        <v>7</v>
      </c>
      <c r="F11" t="s">
        <v>45</v>
      </c>
      <c r="G11" s="6">
        <v>2.8200000000000003</v>
      </c>
      <c r="H11" s="13">
        <v>6</v>
      </c>
      <c r="I11"/>
      <c r="J11" t="str">
        <f>OWP_Calc[[#This Row],[Team]]</f>
        <v>UC Long Beach</v>
      </c>
      <c r="K11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0.51300000000000001</v>
      </c>
    </row>
    <row r="12" spans="1:11" x14ac:dyDescent="0.2">
      <c r="A12" t="s">
        <v>35</v>
      </c>
      <c r="B12" s="6">
        <v>3.5900000000000003</v>
      </c>
      <c r="C12" s="13">
        <v>7</v>
      </c>
      <c r="F12" t="s">
        <v>42</v>
      </c>
      <c r="G12" s="6">
        <v>1.62</v>
      </c>
      <c r="H12" s="13">
        <v>3</v>
      </c>
      <c r="I12"/>
      <c r="J12" t="str">
        <f>OWP_Calc[[#This Row],[Team]]</f>
        <v>Bloom State</v>
      </c>
      <c r="K12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0.503</v>
      </c>
    </row>
    <row r="13" spans="1:11" x14ac:dyDescent="0.2">
      <c r="A13" t="s">
        <v>31</v>
      </c>
      <c r="B13" s="6">
        <v>2.46</v>
      </c>
      <c r="C13" s="13">
        <v>5</v>
      </c>
      <c r="F13" t="s">
        <v>28</v>
      </c>
      <c r="G13" s="6">
        <v>2.88</v>
      </c>
      <c r="H13" s="13">
        <v>6</v>
      </c>
      <c r="I13"/>
      <c r="J13" t="str">
        <f>OWP_Calc[[#This Row],[Team]]</f>
        <v>Redmond</v>
      </c>
      <c r="K13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0.48100000000000004</v>
      </c>
    </row>
    <row r="14" spans="1:11" x14ac:dyDescent="0.2">
      <c r="A14" t="s">
        <v>43</v>
      </c>
      <c r="B14" s="6">
        <v>2.4299999999999997</v>
      </c>
      <c r="C14" s="13">
        <v>5</v>
      </c>
      <c r="F14" t="s">
        <v>38</v>
      </c>
      <c r="G14" s="6">
        <v>2.7</v>
      </c>
      <c r="H14" s="13">
        <v>6</v>
      </c>
      <c r="I14"/>
      <c r="J14" t="str">
        <f>OWP_Calc[[#This Row],[Team]]</f>
        <v>Dennison State</v>
      </c>
      <c r="K14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0.51300000000000001</v>
      </c>
    </row>
    <row r="15" spans="1:11" x14ac:dyDescent="0.2">
      <c r="A15" t="s">
        <v>32</v>
      </c>
      <c r="B15" s="6">
        <v>1.46</v>
      </c>
      <c r="C15" s="13">
        <v>3</v>
      </c>
      <c r="F15" t="s">
        <v>36</v>
      </c>
      <c r="G15" s="6">
        <v>1.8799999999999997</v>
      </c>
      <c r="H15" s="13">
        <v>4</v>
      </c>
      <c r="I15"/>
      <c r="J15" t="str">
        <f>OWP_Calc[[#This Row],[Team]]</f>
        <v>Southern Atlantic</v>
      </c>
      <c r="K15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0.48900000000000005</v>
      </c>
    </row>
    <row r="16" spans="1:11" x14ac:dyDescent="0.2">
      <c r="A16" t="s">
        <v>37</v>
      </c>
      <c r="B16" s="6">
        <v>0.45</v>
      </c>
      <c r="C16" s="13">
        <v>1</v>
      </c>
      <c r="F16" t="s">
        <v>30</v>
      </c>
      <c r="G16" s="6">
        <v>2.35</v>
      </c>
      <c r="H16" s="13">
        <v>5</v>
      </c>
      <c r="I16"/>
      <c r="J16" t="str">
        <f>OWP_Calc[[#This Row],[Team]]</f>
        <v>UW Lower Columbia</v>
      </c>
      <c r="K16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0.50399999999999989</v>
      </c>
    </row>
    <row r="17" spans="1:11" x14ac:dyDescent="0.2">
      <c r="A17" t="s">
        <v>41</v>
      </c>
      <c r="B17" s="6">
        <v>2.08</v>
      </c>
      <c r="C17" s="13">
        <v>4</v>
      </c>
      <c r="F17" t="s">
        <v>33</v>
      </c>
      <c r="G17" s="6">
        <v>3.5</v>
      </c>
      <c r="H17" s="13">
        <v>7</v>
      </c>
      <c r="I17"/>
      <c r="J17" t="str">
        <f>OWP_Calc[[#This Row],[Team]]</f>
        <v>Continental</v>
      </c>
      <c r="K17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0.53200000000000003</v>
      </c>
    </row>
    <row r="18" spans="1:11" x14ac:dyDescent="0.2">
      <c r="A18" t="s">
        <v>45</v>
      </c>
      <c r="B18" s="6">
        <v>1.94</v>
      </c>
      <c r="C18" s="13">
        <v>4</v>
      </c>
      <c r="F18" t="s">
        <v>44</v>
      </c>
      <c r="G18" s="6">
        <v>1.7100000000000002</v>
      </c>
      <c r="H18" s="13">
        <v>3</v>
      </c>
      <c r="I18"/>
      <c r="J18" t="str">
        <f>OWP_Calc[[#This Row],[Team]]</f>
        <v>Golden Isles</v>
      </c>
      <c r="K18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0.47599999999999998</v>
      </c>
    </row>
    <row r="19" spans="1:11" x14ac:dyDescent="0.2">
      <c r="A19" t="s">
        <v>29</v>
      </c>
      <c r="B19" s="6">
        <v>2.5800000000000005</v>
      </c>
      <c r="C19" s="13">
        <v>5</v>
      </c>
      <c r="F19" t="s">
        <v>34</v>
      </c>
      <c r="G19" s="6">
        <v>1.0599999999999998</v>
      </c>
      <c r="H19" s="13">
        <v>2</v>
      </c>
      <c r="I19"/>
      <c r="J19" t="str">
        <f>OWP_Calc[[#This Row],[Team]]</f>
        <v>Minnesota A&amp;M</v>
      </c>
      <c r="K19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0.52300000000000002</v>
      </c>
    </row>
    <row r="20" spans="1:11" x14ac:dyDescent="0.2">
      <c r="A20" t="s">
        <v>39</v>
      </c>
      <c r="B20" s="6">
        <v>2.02</v>
      </c>
      <c r="C20" s="13">
        <v>4</v>
      </c>
      <c r="F20" t="s">
        <v>40</v>
      </c>
      <c r="G20" s="6">
        <v>0.86</v>
      </c>
      <c r="H20" s="13">
        <v>2</v>
      </c>
      <c r="I20"/>
      <c r="J20" t="str">
        <f>OWP_Calc[[#This Row],[Team]]</f>
        <v>Coastal California</v>
      </c>
      <c r="K20" s="6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0.52000000000000013</v>
      </c>
    </row>
    <row r="21" spans="1:11" x14ac:dyDescent="0.2">
      <c r="C21"/>
      <c r="H21"/>
      <c r="I21"/>
      <c r="J21"/>
      <c r="K2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2" spans="1:11" x14ac:dyDescent="0.2">
      <c r="C22"/>
      <c r="H22"/>
      <c r="I22"/>
      <c r="J22" t="str">
        <f>OWP_Calc[[#This Row],[Team]]</f>
        <v/>
      </c>
      <c r="K2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3" spans="1:11" x14ac:dyDescent="0.2">
      <c r="C23"/>
      <c r="H23"/>
      <c r="I23"/>
      <c r="J23" t="str">
        <f>OWP_Calc[[#This Row],[Team]]</f>
        <v/>
      </c>
      <c r="K2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4" spans="1:11" x14ac:dyDescent="0.2">
      <c r="C24"/>
      <c r="H24"/>
      <c r="I24"/>
      <c r="J24" t="str">
        <f>OWP_Calc[[#This Row],[Team]]</f>
        <v/>
      </c>
      <c r="K2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5" spans="1:11" x14ac:dyDescent="0.2">
      <c r="C25"/>
      <c r="H25"/>
      <c r="I25"/>
      <c r="J25" t="str">
        <f>OWP_Calc[[#This Row],[Team]]</f>
        <v/>
      </c>
      <c r="K2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6" spans="1:11" x14ac:dyDescent="0.2">
      <c r="C26"/>
      <c r="H26"/>
      <c r="I26"/>
      <c r="J26" t="str">
        <f>OWP_Calc[[#This Row],[Team]]</f>
        <v/>
      </c>
      <c r="K2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7" spans="1:11" x14ac:dyDescent="0.2">
      <c r="C27"/>
      <c r="H27"/>
      <c r="I27"/>
      <c r="J27" t="str">
        <f>OWP_Calc[[#This Row],[Team]]</f>
        <v/>
      </c>
      <c r="K2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8" spans="1:11" x14ac:dyDescent="0.2">
      <c r="C28"/>
      <c r="H28"/>
      <c r="I28"/>
      <c r="J28" t="str">
        <f>OWP_Calc[[#This Row],[Team]]</f>
        <v/>
      </c>
      <c r="K2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9" spans="1:11" x14ac:dyDescent="0.2">
      <c r="C29"/>
      <c r="H29"/>
      <c r="I29"/>
      <c r="J29" t="str">
        <f>OWP_Calc[[#This Row],[Team]]</f>
        <v/>
      </c>
      <c r="K2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0" spans="1:11" x14ac:dyDescent="0.2">
      <c r="C30"/>
      <c r="H30"/>
      <c r="I30"/>
      <c r="J30" t="str">
        <f>OWP_Calc[[#This Row],[Team]]</f>
        <v/>
      </c>
      <c r="K3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1" spans="1:11" x14ac:dyDescent="0.2">
      <c r="C31"/>
      <c r="H31"/>
      <c r="I31"/>
      <c r="J31" t="str">
        <f>OWP_Calc[[#This Row],[Team]]</f>
        <v/>
      </c>
      <c r="K3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2" spans="1:11" x14ac:dyDescent="0.2">
      <c r="C32"/>
      <c r="H32"/>
      <c r="I32"/>
      <c r="J32" t="str">
        <f>OWP_Calc[[#This Row],[Team]]</f>
        <v/>
      </c>
      <c r="K3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3" spans="3:11" x14ac:dyDescent="0.2">
      <c r="C33"/>
      <c r="H33"/>
      <c r="I33"/>
      <c r="J33" t="str">
        <f>OWP_Calc[[#This Row],[Team]]</f>
        <v/>
      </c>
      <c r="K3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4" spans="3:11" x14ac:dyDescent="0.2">
      <c r="C34"/>
      <c r="H34"/>
      <c r="I34"/>
      <c r="J34" t="str">
        <f>OWP_Calc[[#This Row],[Team]]</f>
        <v/>
      </c>
      <c r="K3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5" spans="3:11" x14ac:dyDescent="0.2">
      <c r="C35"/>
      <c r="H35"/>
      <c r="I35"/>
      <c r="J35" t="str">
        <f>OWP_Calc[[#This Row],[Team]]</f>
        <v/>
      </c>
      <c r="K3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6" spans="3:11" x14ac:dyDescent="0.2">
      <c r="C36"/>
      <c r="H36"/>
      <c r="I36"/>
      <c r="J36" t="str">
        <f>OWP_Calc[[#This Row],[Team]]</f>
        <v/>
      </c>
      <c r="K3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7" spans="3:11" x14ac:dyDescent="0.2">
      <c r="C37"/>
      <c r="H37"/>
      <c r="I37"/>
      <c r="J37" t="str">
        <f>OWP_Calc[[#This Row],[Team]]</f>
        <v/>
      </c>
      <c r="K3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8" spans="3:11" x14ac:dyDescent="0.2">
      <c r="C38"/>
      <c r="H38"/>
      <c r="I38"/>
      <c r="J38" t="str">
        <f>OWP_Calc[[#This Row],[Team]]</f>
        <v/>
      </c>
      <c r="K3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39" spans="3:11" x14ac:dyDescent="0.2">
      <c r="C39"/>
      <c r="H39"/>
      <c r="I39"/>
      <c r="J39" t="str">
        <f>OWP_Calc[[#This Row],[Team]]</f>
        <v/>
      </c>
      <c r="K3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0" spans="3:11" x14ac:dyDescent="0.2">
      <c r="C40"/>
      <c r="H40"/>
      <c r="I40"/>
      <c r="J40" t="str">
        <f>OWP_Calc[[#This Row],[Team]]</f>
        <v/>
      </c>
      <c r="K4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1" spans="3:11" x14ac:dyDescent="0.2">
      <c r="C41"/>
      <c r="H41"/>
      <c r="I41"/>
      <c r="J41" t="str">
        <f>OWP_Calc[[#This Row],[Team]]</f>
        <v/>
      </c>
      <c r="K4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2" spans="3:11" x14ac:dyDescent="0.2">
      <c r="C42"/>
      <c r="H42"/>
      <c r="I42"/>
      <c r="J42" t="str">
        <f>OWP_Calc[[#This Row],[Team]]</f>
        <v/>
      </c>
      <c r="K4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3" spans="3:11" x14ac:dyDescent="0.2">
      <c r="C43"/>
      <c r="H43"/>
      <c r="I43"/>
      <c r="J43" t="str">
        <f>OWP_Calc[[#This Row],[Team]]</f>
        <v/>
      </c>
      <c r="K4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4" spans="3:11" x14ac:dyDescent="0.2">
      <c r="C44"/>
      <c r="H44"/>
      <c r="I44"/>
      <c r="J44" t="str">
        <f>OWP_Calc[[#This Row],[Team]]</f>
        <v/>
      </c>
      <c r="K4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5" spans="3:11" x14ac:dyDescent="0.2">
      <c r="C45"/>
      <c r="H45"/>
      <c r="I45"/>
      <c r="J45" t="str">
        <f>OWP_Calc[[#This Row],[Team]]</f>
        <v/>
      </c>
      <c r="K4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6" spans="3:11" x14ac:dyDescent="0.2">
      <c r="C46"/>
      <c r="H46"/>
      <c r="I46"/>
      <c r="J46" t="str">
        <f>OWP_Calc[[#This Row],[Team]]</f>
        <v/>
      </c>
      <c r="K4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7" spans="3:11" x14ac:dyDescent="0.2">
      <c r="C47"/>
      <c r="H47"/>
      <c r="I47"/>
      <c r="J47" t="str">
        <f>OWP_Calc[[#This Row],[Team]]</f>
        <v/>
      </c>
      <c r="K4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8" spans="3:11" x14ac:dyDescent="0.2">
      <c r="C48"/>
      <c r="H48"/>
      <c r="I48"/>
      <c r="J48" t="str">
        <f>OWP_Calc[[#This Row],[Team]]</f>
        <v/>
      </c>
      <c r="K4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49" spans="3:11" x14ac:dyDescent="0.2">
      <c r="C49"/>
      <c r="H49"/>
      <c r="I49"/>
      <c r="J49" t="str">
        <f>OWP_Calc[[#This Row],[Team]]</f>
        <v/>
      </c>
      <c r="K4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0" spans="3:11" x14ac:dyDescent="0.2">
      <c r="C50"/>
      <c r="H50"/>
      <c r="I50"/>
      <c r="J50" t="str">
        <f>OWP_Calc[[#This Row],[Team]]</f>
        <v/>
      </c>
      <c r="K5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1" spans="3:11" x14ac:dyDescent="0.2">
      <c r="C51"/>
      <c r="H51"/>
      <c r="I51"/>
      <c r="J51" t="str">
        <f>OWP_Calc[[#This Row],[Team]]</f>
        <v/>
      </c>
      <c r="K5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2" spans="3:11" x14ac:dyDescent="0.2">
      <c r="C52"/>
      <c r="H52"/>
      <c r="I52"/>
      <c r="J52" t="str">
        <f>OWP_Calc[[#This Row],[Team]]</f>
        <v/>
      </c>
      <c r="K5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3" spans="3:11" x14ac:dyDescent="0.2">
      <c r="C53"/>
      <c r="H53"/>
      <c r="I53"/>
      <c r="J53" t="str">
        <f>OWP_Calc[[#This Row],[Team]]</f>
        <v/>
      </c>
      <c r="K5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4" spans="3:11" x14ac:dyDescent="0.2">
      <c r="C54"/>
      <c r="H54"/>
      <c r="I54"/>
      <c r="J54" t="str">
        <f>OWP_Calc[[#This Row],[Team]]</f>
        <v/>
      </c>
      <c r="K5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5" spans="3:11" x14ac:dyDescent="0.2">
      <c r="C55"/>
      <c r="H55"/>
      <c r="I55"/>
      <c r="J55" t="str">
        <f>OWP_Calc[[#This Row],[Team]]</f>
        <v/>
      </c>
      <c r="K5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6" spans="3:11" x14ac:dyDescent="0.2">
      <c r="C56"/>
      <c r="H56"/>
      <c r="I56"/>
      <c r="J56" t="str">
        <f>OWP_Calc[[#This Row],[Team]]</f>
        <v/>
      </c>
      <c r="K5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7" spans="3:11" x14ac:dyDescent="0.2">
      <c r="C57"/>
      <c r="H57"/>
      <c r="I57"/>
      <c r="J57" t="str">
        <f>OWP_Calc[[#This Row],[Team]]</f>
        <v/>
      </c>
      <c r="K5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8" spans="3:11" x14ac:dyDescent="0.2">
      <c r="C58"/>
      <c r="H58"/>
      <c r="I58"/>
      <c r="J58" t="str">
        <f>OWP_Calc[[#This Row],[Team]]</f>
        <v/>
      </c>
      <c r="K5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59" spans="3:11" x14ac:dyDescent="0.2">
      <c r="C59"/>
      <c r="H59"/>
      <c r="I59"/>
      <c r="J59" t="str">
        <f>OWP_Calc[[#This Row],[Team]]</f>
        <v/>
      </c>
      <c r="K5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0" spans="3:11" x14ac:dyDescent="0.2">
      <c r="C60"/>
      <c r="H60"/>
      <c r="I60"/>
      <c r="J60" t="str">
        <f>OWP_Calc[[#This Row],[Team]]</f>
        <v/>
      </c>
      <c r="K6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1" spans="3:11" x14ac:dyDescent="0.2">
      <c r="C61"/>
      <c r="H61"/>
      <c r="I61"/>
      <c r="J61" t="str">
        <f>OWP_Calc[[#This Row],[Team]]</f>
        <v/>
      </c>
      <c r="K6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2" spans="3:11" x14ac:dyDescent="0.2">
      <c r="C62"/>
      <c r="H62"/>
      <c r="I62"/>
      <c r="J62" t="str">
        <f>OWP_Calc[[#This Row],[Team]]</f>
        <v/>
      </c>
      <c r="K6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3" spans="3:11" x14ac:dyDescent="0.2">
      <c r="C63"/>
      <c r="H63"/>
      <c r="I63"/>
      <c r="J63" t="str">
        <f>OWP_Calc[[#This Row],[Team]]</f>
        <v/>
      </c>
      <c r="K6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4" spans="3:11" x14ac:dyDescent="0.2">
      <c r="C64"/>
      <c r="H64"/>
      <c r="I64"/>
      <c r="J64" t="str">
        <f>OWP_Calc[[#This Row],[Team]]</f>
        <v/>
      </c>
      <c r="K6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5" spans="3:11" x14ac:dyDescent="0.2">
      <c r="C65"/>
      <c r="H65"/>
      <c r="I65"/>
      <c r="J65" t="str">
        <f>OWP_Calc[[#This Row],[Team]]</f>
        <v/>
      </c>
      <c r="K6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6" spans="3:11" x14ac:dyDescent="0.2">
      <c r="C66"/>
      <c r="H66"/>
      <c r="I66"/>
      <c r="J66" t="str">
        <f>OWP_Calc[[#This Row],[Team]]</f>
        <v/>
      </c>
      <c r="K6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7" spans="3:11" x14ac:dyDescent="0.2">
      <c r="C67"/>
      <c r="H67"/>
      <c r="I67"/>
      <c r="J67" t="str">
        <f>OWP_Calc[[#This Row],[Team]]</f>
        <v/>
      </c>
      <c r="K6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8" spans="3:11" x14ac:dyDescent="0.2">
      <c r="C68"/>
      <c r="H68"/>
      <c r="I68"/>
      <c r="J68" t="str">
        <f>OWP_Calc[[#This Row],[Team]]</f>
        <v/>
      </c>
      <c r="K6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69" spans="3:11" x14ac:dyDescent="0.2">
      <c r="C69"/>
      <c r="H69"/>
      <c r="I69"/>
      <c r="J69" t="str">
        <f>OWP_Calc[[#This Row],[Team]]</f>
        <v/>
      </c>
      <c r="K6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0" spans="3:11" x14ac:dyDescent="0.2">
      <c r="C70"/>
      <c r="H70"/>
      <c r="I70"/>
      <c r="J70" t="str">
        <f>OWP_Calc[[#This Row],[Team]]</f>
        <v/>
      </c>
      <c r="K7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1" spans="3:11" x14ac:dyDescent="0.2">
      <c r="C71"/>
      <c r="H71"/>
      <c r="I71"/>
      <c r="J71" t="str">
        <f>OWP_Calc[[#This Row],[Team]]</f>
        <v/>
      </c>
      <c r="K7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2" spans="3:11" x14ac:dyDescent="0.2">
      <c r="C72"/>
      <c r="H72"/>
      <c r="I72"/>
      <c r="J72" t="str">
        <f>OWP_Calc[[#This Row],[Team]]</f>
        <v/>
      </c>
      <c r="K7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3" spans="3:11" x14ac:dyDescent="0.2">
      <c r="C73"/>
      <c r="H73"/>
      <c r="I73"/>
      <c r="J73" t="str">
        <f>OWP_Calc[[#This Row],[Team]]</f>
        <v/>
      </c>
      <c r="K7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4" spans="3:11" x14ac:dyDescent="0.2">
      <c r="C74"/>
      <c r="H74"/>
      <c r="I74"/>
      <c r="J74" t="str">
        <f>OWP_Calc[[#This Row],[Team]]</f>
        <v/>
      </c>
      <c r="K7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5" spans="3:11" x14ac:dyDescent="0.2">
      <c r="C75"/>
      <c r="H75"/>
      <c r="I75"/>
      <c r="J75" t="str">
        <f>OWP_Calc[[#This Row],[Team]]</f>
        <v/>
      </c>
      <c r="K7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6" spans="3:11" x14ac:dyDescent="0.2">
      <c r="C76"/>
      <c r="H76"/>
      <c r="I76"/>
      <c r="J76" t="str">
        <f>OWP_Calc[[#This Row],[Team]]</f>
        <v/>
      </c>
      <c r="K7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7" spans="3:11" x14ac:dyDescent="0.2">
      <c r="C77"/>
      <c r="H77"/>
      <c r="I77"/>
      <c r="J77" t="str">
        <f>OWP_Calc[[#This Row],[Team]]</f>
        <v/>
      </c>
      <c r="K7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8" spans="3:11" x14ac:dyDescent="0.2">
      <c r="C78"/>
      <c r="H78"/>
      <c r="I78"/>
      <c r="J78" t="str">
        <f>OWP_Calc[[#This Row],[Team]]</f>
        <v/>
      </c>
      <c r="K7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79" spans="3:11" x14ac:dyDescent="0.2">
      <c r="C79"/>
      <c r="H79"/>
      <c r="I79"/>
      <c r="J79" t="str">
        <f>OWP_Calc[[#This Row],[Team]]</f>
        <v/>
      </c>
      <c r="K7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0" spans="3:11" x14ac:dyDescent="0.2">
      <c r="C80"/>
      <c r="H80"/>
      <c r="I80"/>
      <c r="J80" t="str">
        <f>OWP_Calc[[#This Row],[Team]]</f>
        <v/>
      </c>
      <c r="K8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1" spans="3:11" x14ac:dyDescent="0.2">
      <c r="C81"/>
      <c r="H81"/>
      <c r="I81"/>
      <c r="J81" t="str">
        <f>OWP_Calc[[#This Row],[Team]]</f>
        <v/>
      </c>
      <c r="K8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2" spans="3:11" x14ac:dyDescent="0.2">
      <c r="C82"/>
      <c r="H82"/>
      <c r="I82"/>
      <c r="J82" t="str">
        <f>OWP_Calc[[#This Row],[Team]]</f>
        <v/>
      </c>
      <c r="K8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3" spans="3:11" x14ac:dyDescent="0.2">
      <c r="C83"/>
      <c r="H83"/>
      <c r="I83"/>
      <c r="J83" t="str">
        <f>OWP_Calc[[#This Row],[Team]]</f>
        <v/>
      </c>
      <c r="K8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4" spans="3:11" x14ac:dyDescent="0.2">
      <c r="C84"/>
      <c r="H84"/>
      <c r="I84"/>
      <c r="J84" t="str">
        <f>OWP_Calc[[#This Row],[Team]]</f>
        <v/>
      </c>
      <c r="K8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5" spans="3:11" x14ac:dyDescent="0.2">
      <c r="C85"/>
      <c r="H85"/>
      <c r="I85"/>
      <c r="J85" t="str">
        <f>OWP_Calc[[#This Row],[Team]]</f>
        <v/>
      </c>
      <c r="K8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6" spans="3:11" x14ac:dyDescent="0.2">
      <c r="C86"/>
      <c r="H86"/>
      <c r="I86"/>
      <c r="J86" t="str">
        <f>OWP_Calc[[#This Row],[Team]]</f>
        <v/>
      </c>
      <c r="K8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7" spans="3:11" x14ac:dyDescent="0.2">
      <c r="C87"/>
      <c r="H87"/>
      <c r="I87"/>
      <c r="J87" t="str">
        <f>OWP_Calc[[#This Row],[Team]]</f>
        <v/>
      </c>
      <c r="K8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8" spans="3:11" x14ac:dyDescent="0.2">
      <c r="C88"/>
      <c r="H88"/>
      <c r="I88"/>
      <c r="J88" t="str">
        <f>OWP_Calc[[#This Row],[Team]]</f>
        <v/>
      </c>
      <c r="K8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89" spans="3:11" x14ac:dyDescent="0.2">
      <c r="C89"/>
      <c r="H89"/>
      <c r="I89"/>
      <c r="J89" t="str">
        <f>OWP_Calc[[#This Row],[Team]]</f>
        <v/>
      </c>
      <c r="K8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0" spans="3:11" x14ac:dyDescent="0.2">
      <c r="C90"/>
      <c r="H90"/>
      <c r="I90"/>
      <c r="J90" t="str">
        <f>OWP_Calc[[#This Row],[Team]]</f>
        <v/>
      </c>
      <c r="K9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1" spans="3:11" x14ac:dyDescent="0.2">
      <c r="C91"/>
      <c r="H91"/>
      <c r="I91"/>
      <c r="J91" t="str">
        <f>OWP_Calc[[#This Row],[Team]]</f>
        <v/>
      </c>
      <c r="K9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2" spans="3:11" x14ac:dyDescent="0.2">
      <c r="C92"/>
      <c r="H92"/>
      <c r="I92"/>
      <c r="J92" t="str">
        <f>OWP_Calc[[#This Row],[Team]]</f>
        <v/>
      </c>
      <c r="K9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3" spans="3:11" x14ac:dyDescent="0.2">
      <c r="C93"/>
      <c r="H93"/>
      <c r="I93"/>
      <c r="J93" t="str">
        <f>OWP_Calc[[#This Row],[Team]]</f>
        <v/>
      </c>
      <c r="K9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4" spans="3:11" x14ac:dyDescent="0.2">
      <c r="C94"/>
      <c r="H94"/>
      <c r="I94"/>
      <c r="J94" t="str">
        <f>OWP_Calc[[#This Row],[Team]]</f>
        <v/>
      </c>
      <c r="K9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5" spans="3:11" x14ac:dyDescent="0.2">
      <c r="C95"/>
      <c r="H95"/>
      <c r="I95"/>
      <c r="J95" t="str">
        <f>OWP_Calc[[#This Row],[Team]]</f>
        <v/>
      </c>
      <c r="K9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6" spans="3:11" x14ac:dyDescent="0.2">
      <c r="C96"/>
      <c r="H96"/>
      <c r="I96"/>
      <c r="J96" t="str">
        <f>OWP_Calc[[#This Row],[Team]]</f>
        <v/>
      </c>
      <c r="K9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7" spans="3:11" x14ac:dyDescent="0.2">
      <c r="C97"/>
      <c r="H97"/>
      <c r="I97"/>
      <c r="J97" t="str">
        <f>OWP_Calc[[#This Row],[Team]]</f>
        <v/>
      </c>
      <c r="K9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8" spans="3:11" x14ac:dyDescent="0.2">
      <c r="C98"/>
      <c r="H98"/>
      <c r="I98"/>
      <c r="J98" t="str">
        <f>OWP_Calc[[#This Row],[Team]]</f>
        <v/>
      </c>
      <c r="K9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99" spans="3:11" x14ac:dyDescent="0.2">
      <c r="C99"/>
      <c r="H99"/>
      <c r="I99"/>
      <c r="J99" t="str">
        <f>OWP_Calc[[#This Row],[Team]]</f>
        <v/>
      </c>
      <c r="K9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0" spans="3:11" x14ac:dyDescent="0.2">
      <c r="C100"/>
      <c r="H100"/>
      <c r="I100"/>
      <c r="J100" t="str">
        <f>OWP_Calc[[#This Row],[Team]]</f>
        <v/>
      </c>
      <c r="K10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1" spans="3:11" x14ac:dyDescent="0.2">
      <c r="C101"/>
      <c r="H101"/>
      <c r="I101"/>
      <c r="J101" t="str">
        <f>OWP_Calc[[#This Row],[Team]]</f>
        <v/>
      </c>
      <c r="K10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2" spans="3:11" x14ac:dyDescent="0.2">
      <c r="C102"/>
      <c r="H102"/>
      <c r="I102"/>
      <c r="J102" t="str">
        <f>OWP_Calc[[#This Row],[Team]]</f>
        <v/>
      </c>
      <c r="K10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3" spans="3:11" x14ac:dyDescent="0.2">
      <c r="C103"/>
      <c r="H103"/>
      <c r="I103"/>
      <c r="J103" t="str">
        <f>OWP_Calc[[#This Row],[Team]]</f>
        <v/>
      </c>
      <c r="K10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4" spans="3:11" x14ac:dyDescent="0.2">
      <c r="C104"/>
      <c r="H104"/>
      <c r="I104"/>
      <c r="J104" t="str">
        <f>OWP_Calc[[#This Row],[Team]]</f>
        <v/>
      </c>
      <c r="K10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5" spans="3:11" x14ac:dyDescent="0.2">
      <c r="C105"/>
      <c r="H105"/>
      <c r="I105"/>
      <c r="J105" t="str">
        <f>OWP_Calc[[#This Row],[Team]]</f>
        <v/>
      </c>
      <c r="K10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6" spans="3:11" x14ac:dyDescent="0.2">
      <c r="C106"/>
      <c r="H106"/>
      <c r="I106"/>
      <c r="J106" t="str">
        <f>OWP_Calc[[#This Row],[Team]]</f>
        <v/>
      </c>
      <c r="K10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7" spans="3:11" x14ac:dyDescent="0.2">
      <c r="C107"/>
      <c r="H107"/>
      <c r="I107"/>
      <c r="J107" t="str">
        <f>OWP_Calc[[#This Row],[Team]]</f>
        <v/>
      </c>
      <c r="K10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8" spans="3:11" x14ac:dyDescent="0.2">
      <c r="C108"/>
      <c r="H108"/>
      <c r="I108"/>
      <c r="J108" t="str">
        <f>OWP_Calc[[#This Row],[Team]]</f>
        <v/>
      </c>
      <c r="K10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09" spans="3:11" x14ac:dyDescent="0.2">
      <c r="C109"/>
      <c r="H109"/>
      <c r="I109"/>
      <c r="J109" t="str">
        <f>OWP_Calc[[#This Row],[Team]]</f>
        <v/>
      </c>
      <c r="K10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0" spans="3:11" x14ac:dyDescent="0.2">
      <c r="C110"/>
      <c r="H110"/>
      <c r="I110"/>
      <c r="J110" t="str">
        <f>OWP_Calc[[#This Row],[Team]]</f>
        <v/>
      </c>
      <c r="K11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1" spans="3:11" x14ac:dyDescent="0.2">
      <c r="C111"/>
      <c r="H111"/>
      <c r="I111"/>
      <c r="J111" t="str">
        <f>OWP_Calc[[#This Row],[Team]]</f>
        <v/>
      </c>
      <c r="K11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2" spans="3:11" x14ac:dyDescent="0.2">
      <c r="C112"/>
      <c r="H112"/>
      <c r="I112"/>
      <c r="J112" t="str">
        <f>OWP_Calc[[#This Row],[Team]]</f>
        <v/>
      </c>
      <c r="K11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3" spans="3:11" x14ac:dyDescent="0.2">
      <c r="C113"/>
      <c r="H113"/>
      <c r="I113"/>
      <c r="J113" t="str">
        <f>OWP_Calc[[#This Row],[Team]]</f>
        <v/>
      </c>
      <c r="K11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4" spans="3:11" x14ac:dyDescent="0.2">
      <c r="C114"/>
      <c r="H114"/>
      <c r="I114"/>
      <c r="J114" t="str">
        <f>OWP_Calc[[#This Row],[Team]]</f>
        <v/>
      </c>
      <c r="K11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5" spans="3:11" x14ac:dyDescent="0.2">
      <c r="C115"/>
      <c r="H115"/>
      <c r="I115"/>
      <c r="J115" t="str">
        <f>OWP_Calc[[#This Row],[Team]]</f>
        <v/>
      </c>
      <c r="K11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6" spans="3:11" x14ac:dyDescent="0.2">
      <c r="C116"/>
      <c r="H116"/>
      <c r="I116"/>
      <c r="J116" t="str">
        <f>OWP_Calc[[#This Row],[Team]]</f>
        <v/>
      </c>
      <c r="K11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7" spans="3:11" x14ac:dyDescent="0.2">
      <c r="C117"/>
      <c r="H117"/>
      <c r="I117"/>
      <c r="J117" t="str">
        <f>OWP_Calc[[#This Row],[Team]]</f>
        <v/>
      </c>
      <c r="K11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8" spans="3:11" x14ac:dyDescent="0.2">
      <c r="C118"/>
      <c r="H118"/>
      <c r="I118"/>
      <c r="J118" t="str">
        <f>OWP_Calc[[#This Row],[Team]]</f>
        <v/>
      </c>
      <c r="K11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19" spans="3:11" x14ac:dyDescent="0.2">
      <c r="C119"/>
      <c r="H119"/>
      <c r="I119"/>
      <c r="J119" t="str">
        <f>OWP_Calc[[#This Row],[Team]]</f>
        <v/>
      </c>
      <c r="K11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0" spans="3:11" x14ac:dyDescent="0.2">
      <c r="C120"/>
      <c r="H120"/>
      <c r="I120"/>
      <c r="J120" t="str">
        <f>OWP_Calc[[#This Row],[Team]]</f>
        <v/>
      </c>
      <c r="K12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1" spans="3:11" x14ac:dyDescent="0.2">
      <c r="C121"/>
      <c r="H121"/>
      <c r="I121"/>
      <c r="J121" t="str">
        <f>OWP_Calc[[#This Row],[Team]]</f>
        <v/>
      </c>
      <c r="K12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2" spans="3:11" x14ac:dyDescent="0.2">
      <c r="C122"/>
      <c r="H122"/>
      <c r="I122"/>
      <c r="J122" t="str">
        <f>OWP_Calc[[#This Row],[Team]]</f>
        <v/>
      </c>
      <c r="K12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3" spans="3:11" x14ac:dyDescent="0.2">
      <c r="C123"/>
      <c r="H123"/>
      <c r="I123"/>
      <c r="J123" t="str">
        <f>OWP_Calc[[#This Row],[Team]]</f>
        <v/>
      </c>
      <c r="K12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4" spans="3:11" x14ac:dyDescent="0.2">
      <c r="C124"/>
      <c r="H124"/>
      <c r="I124"/>
      <c r="J124" t="str">
        <f>OWP_Calc[[#This Row],[Team]]</f>
        <v/>
      </c>
      <c r="K12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5" spans="3:11" x14ac:dyDescent="0.2">
      <c r="C125"/>
      <c r="H125"/>
      <c r="I125"/>
      <c r="J125" t="str">
        <f>OWP_Calc[[#This Row],[Team]]</f>
        <v/>
      </c>
      <c r="K12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6" spans="3:11" x14ac:dyDescent="0.2">
      <c r="C126"/>
      <c r="H126"/>
      <c r="I126"/>
      <c r="J126" t="str">
        <f>OWP_Calc[[#This Row],[Team]]</f>
        <v/>
      </c>
      <c r="K12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7" spans="3:11" x14ac:dyDescent="0.2">
      <c r="C127"/>
      <c r="H127"/>
      <c r="I127"/>
      <c r="J127" t="str">
        <f>OWP_Calc[[#This Row],[Team]]</f>
        <v/>
      </c>
      <c r="K12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8" spans="3:11" x14ac:dyDescent="0.2">
      <c r="C128"/>
      <c r="H128"/>
      <c r="I128"/>
      <c r="J128" t="str">
        <f>OWP_Calc[[#This Row],[Team]]</f>
        <v/>
      </c>
      <c r="K12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29" spans="3:11" x14ac:dyDescent="0.2">
      <c r="C129"/>
      <c r="H129"/>
      <c r="I129"/>
      <c r="J129" t="str">
        <f>OWP_Calc[[#This Row],[Team]]</f>
        <v/>
      </c>
      <c r="K12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0" spans="3:11" x14ac:dyDescent="0.2">
      <c r="C130"/>
      <c r="H130"/>
      <c r="I130"/>
      <c r="J130" t="str">
        <f>OWP_Calc[[#This Row],[Team]]</f>
        <v/>
      </c>
      <c r="K13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1" spans="3:11" x14ac:dyDescent="0.2">
      <c r="C131"/>
      <c r="H131"/>
      <c r="I131"/>
      <c r="J131" t="str">
        <f>OWP_Calc[[#This Row],[Team]]</f>
        <v/>
      </c>
      <c r="K13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2" spans="3:11" x14ac:dyDescent="0.2">
      <c r="C132"/>
      <c r="H132"/>
      <c r="I132"/>
      <c r="J132" t="str">
        <f>OWP_Calc[[#This Row],[Team]]</f>
        <v/>
      </c>
      <c r="K13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3" spans="3:11" x14ac:dyDescent="0.2">
      <c r="C133"/>
      <c r="H133"/>
      <c r="I133"/>
      <c r="J133" t="str">
        <f>OWP_Calc[[#This Row],[Team]]</f>
        <v/>
      </c>
      <c r="K13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4" spans="3:11" x14ac:dyDescent="0.2">
      <c r="C134"/>
      <c r="H134"/>
      <c r="I134"/>
      <c r="J134" t="str">
        <f>OWP_Calc[[#This Row],[Team]]</f>
        <v/>
      </c>
      <c r="K13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5" spans="3:11" x14ac:dyDescent="0.2">
      <c r="C135"/>
      <c r="H135"/>
      <c r="I135"/>
      <c r="J135" t="str">
        <f>OWP_Calc[[#This Row],[Team]]</f>
        <v/>
      </c>
      <c r="K13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6" spans="3:11" x14ac:dyDescent="0.2">
      <c r="C136"/>
      <c r="H136"/>
      <c r="I136"/>
      <c r="J136" t="str">
        <f>OWP_Calc[[#This Row],[Team]]</f>
        <v/>
      </c>
      <c r="K13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7" spans="3:11" x14ac:dyDescent="0.2">
      <c r="C137"/>
      <c r="H137"/>
      <c r="I137"/>
      <c r="J137" t="str">
        <f>OWP_Calc[[#This Row],[Team]]</f>
        <v/>
      </c>
      <c r="K13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8" spans="3:11" x14ac:dyDescent="0.2">
      <c r="C138"/>
      <c r="H138"/>
      <c r="I138"/>
      <c r="J138" t="str">
        <f>OWP_Calc[[#This Row],[Team]]</f>
        <v/>
      </c>
      <c r="K13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39" spans="3:11" x14ac:dyDescent="0.2">
      <c r="C139"/>
      <c r="H139"/>
      <c r="I139"/>
      <c r="J139" t="str">
        <f>OWP_Calc[[#This Row],[Team]]</f>
        <v/>
      </c>
      <c r="K13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0" spans="3:11" x14ac:dyDescent="0.2">
      <c r="C140"/>
      <c r="H140"/>
      <c r="I140"/>
      <c r="J140" t="str">
        <f>OWP_Calc[[#This Row],[Team]]</f>
        <v/>
      </c>
      <c r="K14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1" spans="3:11" x14ac:dyDescent="0.2">
      <c r="C141"/>
      <c r="H141"/>
      <c r="I141"/>
      <c r="J141" t="str">
        <f>OWP_Calc[[#This Row],[Team]]</f>
        <v/>
      </c>
      <c r="K14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2" spans="3:11" x14ac:dyDescent="0.2">
      <c r="C142"/>
      <c r="H142"/>
      <c r="I142"/>
      <c r="J142" t="str">
        <f>OWP_Calc[[#This Row],[Team]]</f>
        <v/>
      </c>
      <c r="K14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3" spans="3:11" x14ac:dyDescent="0.2">
      <c r="C143"/>
      <c r="H143"/>
      <c r="I143"/>
      <c r="J143" t="str">
        <f>OWP_Calc[[#This Row],[Team]]</f>
        <v/>
      </c>
      <c r="K14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4" spans="3:11" x14ac:dyDescent="0.2">
      <c r="C144"/>
      <c r="H144"/>
      <c r="I144"/>
      <c r="J144" t="str">
        <f>OWP_Calc[[#This Row],[Team]]</f>
        <v/>
      </c>
      <c r="K14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5" spans="3:11" x14ac:dyDescent="0.2">
      <c r="C145"/>
      <c r="H145"/>
      <c r="I145"/>
      <c r="J145" t="str">
        <f>OWP_Calc[[#This Row],[Team]]</f>
        <v/>
      </c>
      <c r="K14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6" spans="3:11" x14ac:dyDescent="0.2">
      <c r="C146"/>
      <c r="H146"/>
      <c r="I146"/>
      <c r="J146" t="str">
        <f>OWP_Calc[[#This Row],[Team]]</f>
        <v/>
      </c>
      <c r="K14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7" spans="3:11" x14ac:dyDescent="0.2">
      <c r="C147"/>
      <c r="H147"/>
      <c r="I147"/>
      <c r="J147" t="str">
        <f>OWP_Calc[[#This Row],[Team]]</f>
        <v/>
      </c>
      <c r="K14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8" spans="3:11" x14ac:dyDescent="0.2">
      <c r="C148"/>
      <c r="H148"/>
      <c r="I148"/>
      <c r="J148" t="str">
        <f>OWP_Calc[[#This Row],[Team]]</f>
        <v/>
      </c>
      <c r="K14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49" spans="3:11" x14ac:dyDescent="0.2">
      <c r="C149"/>
      <c r="H149"/>
      <c r="I149"/>
      <c r="J149" t="str">
        <f>OWP_Calc[[#This Row],[Team]]</f>
        <v/>
      </c>
      <c r="K14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0" spans="3:11" x14ac:dyDescent="0.2">
      <c r="C150"/>
      <c r="H150"/>
      <c r="I150"/>
      <c r="J150" t="str">
        <f>OWP_Calc[[#This Row],[Team]]</f>
        <v/>
      </c>
      <c r="K15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1" spans="3:11" x14ac:dyDescent="0.2">
      <c r="C151"/>
      <c r="H151"/>
      <c r="I151"/>
      <c r="J151" t="str">
        <f>OWP_Calc[[#This Row],[Team]]</f>
        <v/>
      </c>
      <c r="K15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2" spans="3:11" x14ac:dyDescent="0.2">
      <c r="C152"/>
      <c r="H152"/>
      <c r="I152"/>
      <c r="J152" t="str">
        <f>OWP_Calc[[#This Row],[Team]]</f>
        <v/>
      </c>
      <c r="K15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3" spans="3:11" x14ac:dyDescent="0.2">
      <c r="C153"/>
      <c r="H153"/>
      <c r="I153"/>
      <c r="J153" t="str">
        <f>OWP_Calc[[#This Row],[Team]]</f>
        <v/>
      </c>
      <c r="K15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4" spans="3:11" x14ac:dyDescent="0.2">
      <c r="C154"/>
      <c r="H154"/>
      <c r="I154"/>
      <c r="J154" t="str">
        <f>OWP_Calc[[#This Row],[Team]]</f>
        <v/>
      </c>
      <c r="K15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5" spans="3:11" x14ac:dyDescent="0.2">
      <c r="C155"/>
      <c r="H155"/>
      <c r="I155"/>
      <c r="J155" t="str">
        <f>OWP_Calc[[#This Row],[Team]]</f>
        <v/>
      </c>
      <c r="K15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6" spans="3:11" x14ac:dyDescent="0.2">
      <c r="C156"/>
      <c r="H156"/>
      <c r="I156"/>
      <c r="J156" t="str">
        <f>OWP_Calc[[#This Row],[Team]]</f>
        <v/>
      </c>
      <c r="K15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7" spans="3:11" x14ac:dyDescent="0.2">
      <c r="C157"/>
      <c r="H157"/>
      <c r="I157"/>
      <c r="J157" t="str">
        <f>OWP_Calc[[#This Row],[Team]]</f>
        <v/>
      </c>
      <c r="K15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8" spans="3:11" x14ac:dyDescent="0.2">
      <c r="C158"/>
      <c r="H158"/>
      <c r="I158"/>
      <c r="J158" t="str">
        <f>OWP_Calc[[#This Row],[Team]]</f>
        <v/>
      </c>
      <c r="K15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59" spans="3:11" x14ac:dyDescent="0.2">
      <c r="C159"/>
      <c r="H159"/>
      <c r="I159"/>
      <c r="J159" t="str">
        <f>OWP_Calc[[#This Row],[Team]]</f>
        <v/>
      </c>
      <c r="K15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0" spans="3:11" x14ac:dyDescent="0.2">
      <c r="C160"/>
      <c r="H160"/>
      <c r="I160"/>
      <c r="J160" t="str">
        <f>OWP_Calc[[#This Row],[Team]]</f>
        <v/>
      </c>
      <c r="K16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1" spans="3:11" x14ac:dyDescent="0.2">
      <c r="C161"/>
      <c r="H161"/>
      <c r="I161"/>
      <c r="J161" t="str">
        <f>OWP_Calc[[#This Row],[Team]]</f>
        <v/>
      </c>
      <c r="K16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2" spans="3:11" x14ac:dyDescent="0.2">
      <c r="C162"/>
      <c r="H162"/>
      <c r="I162"/>
      <c r="J162" t="str">
        <f>OWP_Calc[[#This Row],[Team]]</f>
        <v/>
      </c>
      <c r="K16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3" spans="3:11" x14ac:dyDescent="0.2">
      <c r="C163"/>
      <c r="H163"/>
      <c r="I163"/>
      <c r="J163" t="str">
        <f>OWP_Calc[[#This Row],[Team]]</f>
        <v/>
      </c>
      <c r="K16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4" spans="3:11" x14ac:dyDescent="0.2">
      <c r="C164"/>
      <c r="H164"/>
      <c r="I164"/>
      <c r="J164" t="str">
        <f>OWP_Calc[[#This Row],[Team]]</f>
        <v/>
      </c>
      <c r="K16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5" spans="3:11" x14ac:dyDescent="0.2">
      <c r="C165"/>
      <c r="H165"/>
      <c r="I165"/>
      <c r="J165" t="str">
        <f>OWP_Calc[[#This Row],[Team]]</f>
        <v/>
      </c>
      <c r="K16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6" spans="3:11" x14ac:dyDescent="0.2">
      <c r="C166"/>
      <c r="H166"/>
      <c r="I166"/>
      <c r="J166" t="str">
        <f>OWP_Calc[[#This Row],[Team]]</f>
        <v/>
      </c>
      <c r="K16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7" spans="3:11" x14ac:dyDescent="0.2">
      <c r="C167"/>
      <c r="H167"/>
      <c r="I167"/>
      <c r="J167" t="str">
        <f>OWP_Calc[[#This Row],[Team]]</f>
        <v/>
      </c>
      <c r="K16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8" spans="3:11" x14ac:dyDescent="0.2">
      <c r="C168"/>
      <c r="H168"/>
      <c r="I168"/>
      <c r="J168" t="str">
        <f>OWP_Calc[[#This Row],[Team]]</f>
        <v/>
      </c>
      <c r="K16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69" spans="3:11" x14ac:dyDescent="0.2">
      <c r="C169"/>
      <c r="H169"/>
      <c r="I169"/>
      <c r="J169" t="str">
        <f>OWP_Calc[[#This Row],[Team]]</f>
        <v/>
      </c>
      <c r="K16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0" spans="3:11" x14ac:dyDescent="0.2">
      <c r="C170"/>
      <c r="H170"/>
      <c r="I170"/>
      <c r="J170" t="str">
        <f>OWP_Calc[[#This Row],[Team]]</f>
        <v/>
      </c>
      <c r="K17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1" spans="3:11" x14ac:dyDescent="0.2">
      <c r="C171"/>
      <c r="H171"/>
      <c r="I171"/>
      <c r="J171" t="str">
        <f>OWP_Calc[[#This Row],[Team]]</f>
        <v/>
      </c>
      <c r="K17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2" spans="3:11" x14ac:dyDescent="0.2">
      <c r="C172"/>
      <c r="H172"/>
      <c r="I172"/>
      <c r="J172" t="str">
        <f>OWP_Calc[[#This Row],[Team]]</f>
        <v/>
      </c>
      <c r="K17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3" spans="3:11" x14ac:dyDescent="0.2">
      <c r="C173"/>
      <c r="H173"/>
      <c r="I173"/>
      <c r="J173" t="str">
        <f>OWP_Calc[[#This Row],[Team]]</f>
        <v/>
      </c>
      <c r="K17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4" spans="3:11" x14ac:dyDescent="0.2">
      <c r="C174"/>
      <c r="H174"/>
      <c r="I174"/>
      <c r="J174" t="str">
        <f>OWP_Calc[[#This Row],[Team]]</f>
        <v/>
      </c>
      <c r="K17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5" spans="3:11" x14ac:dyDescent="0.2">
      <c r="C175"/>
      <c r="H175"/>
      <c r="I175"/>
      <c r="J175" t="str">
        <f>OWP_Calc[[#This Row],[Team]]</f>
        <v/>
      </c>
      <c r="K17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6" spans="3:11" x14ac:dyDescent="0.2">
      <c r="C176"/>
      <c r="H176"/>
      <c r="I176"/>
      <c r="J176" t="str">
        <f>OWP_Calc[[#This Row],[Team]]</f>
        <v/>
      </c>
      <c r="K17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7" spans="3:11" x14ac:dyDescent="0.2">
      <c r="C177"/>
      <c r="H177"/>
      <c r="I177"/>
      <c r="J177" t="str">
        <f>OWP_Calc[[#This Row],[Team]]</f>
        <v/>
      </c>
      <c r="K17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8" spans="3:11" x14ac:dyDescent="0.2">
      <c r="C178"/>
      <c r="H178"/>
      <c r="I178"/>
      <c r="J178" t="str">
        <f>OWP_Calc[[#This Row],[Team]]</f>
        <v/>
      </c>
      <c r="K17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79" spans="3:11" x14ac:dyDescent="0.2">
      <c r="C179"/>
      <c r="H179"/>
      <c r="I179"/>
      <c r="J179" t="str">
        <f>OWP_Calc[[#This Row],[Team]]</f>
        <v/>
      </c>
      <c r="K17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0" spans="3:11" x14ac:dyDescent="0.2">
      <c r="C180"/>
      <c r="H180"/>
      <c r="I180"/>
      <c r="J180" t="str">
        <f>OWP_Calc[[#This Row],[Team]]</f>
        <v/>
      </c>
      <c r="K18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1" spans="3:11" x14ac:dyDescent="0.2">
      <c r="C181"/>
      <c r="H181"/>
      <c r="I181"/>
      <c r="J181" t="str">
        <f>OWP_Calc[[#This Row],[Team]]</f>
        <v/>
      </c>
      <c r="K18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2" spans="3:11" x14ac:dyDescent="0.2">
      <c r="C182"/>
      <c r="H182"/>
      <c r="I182"/>
      <c r="J182" t="str">
        <f>OWP_Calc[[#This Row],[Team]]</f>
        <v/>
      </c>
      <c r="K18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3" spans="3:11" x14ac:dyDescent="0.2">
      <c r="C183"/>
      <c r="H183"/>
      <c r="I183"/>
      <c r="J183" t="str">
        <f>OWP_Calc[[#This Row],[Team]]</f>
        <v/>
      </c>
      <c r="K18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4" spans="3:11" x14ac:dyDescent="0.2">
      <c r="C184"/>
      <c r="H184"/>
      <c r="I184"/>
      <c r="J184" t="str">
        <f>OWP_Calc[[#This Row],[Team]]</f>
        <v/>
      </c>
      <c r="K18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5" spans="3:11" x14ac:dyDescent="0.2">
      <c r="C185"/>
      <c r="H185"/>
      <c r="I185"/>
      <c r="J185" t="str">
        <f>OWP_Calc[[#This Row],[Team]]</f>
        <v/>
      </c>
      <c r="K18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6" spans="3:11" x14ac:dyDescent="0.2">
      <c r="C186"/>
      <c r="H186"/>
      <c r="I186"/>
      <c r="J186" t="str">
        <f>OWP_Calc[[#This Row],[Team]]</f>
        <v/>
      </c>
      <c r="K18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7" spans="3:11" x14ac:dyDescent="0.2">
      <c r="C187"/>
      <c r="H187"/>
      <c r="I187"/>
      <c r="J187" t="str">
        <f>OWP_Calc[[#This Row],[Team]]</f>
        <v/>
      </c>
      <c r="K18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8" spans="3:11" x14ac:dyDescent="0.2">
      <c r="C188"/>
      <c r="H188"/>
      <c r="I188"/>
      <c r="J188" t="str">
        <f>OWP_Calc[[#This Row],[Team]]</f>
        <v/>
      </c>
      <c r="K18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89" spans="3:11" x14ac:dyDescent="0.2">
      <c r="C189"/>
      <c r="H189"/>
      <c r="I189"/>
      <c r="J189" t="str">
        <f>OWP_Calc[[#This Row],[Team]]</f>
        <v/>
      </c>
      <c r="K18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0" spans="3:11" x14ac:dyDescent="0.2">
      <c r="C190"/>
      <c r="H190"/>
      <c r="I190"/>
      <c r="J190" t="str">
        <f>OWP_Calc[[#This Row],[Team]]</f>
        <v/>
      </c>
      <c r="K19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1" spans="3:11" x14ac:dyDescent="0.2">
      <c r="C191"/>
      <c r="H191"/>
      <c r="I191"/>
      <c r="J191" t="str">
        <f>OWP_Calc[[#This Row],[Team]]</f>
        <v/>
      </c>
      <c r="K191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2" spans="3:11" x14ac:dyDescent="0.2">
      <c r="C192"/>
      <c r="H192"/>
      <c r="I192"/>
      <c r="J192" t="str">
        <f>OWP_Calc[[#This Row],[Team]]</f>
        <v/>
      </c>
      <c r="K192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3" spans="3:11" x14ac:dyDescent="0.2">
      <c r="C193"/>
      <c r="H193"/>
      <c r="I193"/>
      <c r="J193" t="str">
        <f>OWP_Calc[[#This Row],[Team]]</f>
        <v/>
      </c>
      <c r="K193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4" spans="3:11" x14ac:dyDescent="0.2">
      <c r="C194"/>
      <c r="H194"/>
      <c r="I194"/>
      <c r="J194" t="str">
        <f>OWP_Calc[[#This Row],[Team]]</f>
        <v/>
      </c>
      <c r="K194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5" spans="3:11" x14ac:dyDescent="0.2">
      <c r="C195"/>
      <c r="H195"/>
      <c r="I195"/>
      <c r="J195" t="str">
        <f>OWP_Calc[[#This Row],[Team]]</f>
        <v/>
      </c>
      <c r="K195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6" spans="3:11" x14ac:dyDescent="0.2">
      <c r="C196"/>
      <c r="H196"/>
      <c r="I196"/>
      <c r="J196" t="str">
        <f>OWP_Calc[[#This Row],[Team]]</f>
        <v/>
      </c>
      <c r="K196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7" spans="3:11" x14ac:dyDescent="0.2">
      <c r="C197"/>
      <c r="H197"/>
      <c r="I197"/>
      <c r="J197" t="str">
        <f>OWP_Calc[[#This Row],[Team]]</f>
        <v/>
      </c>
      <c r="K197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8" spans="3:11" x14ac:dyDescent="0.2">
      <c r="C198"/>
      <c r="H198"/>
      <c r="I198"/>
      <c r="J198" t="str">
        <f>OWP_Calc[[#This Row],[Team]]</f>
        <v/>
      </c>
      <c r="K198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199" spans="3:11" x14ac:dyDescent="0.2">
      <c r="C199"/>
      <c r="H199"/>
      <c r="I199"/>
      <c r="J199" t="str">
        <f>OWP_Calc[[#This Row],[Team]]</f>
        <v/>
      </c>
      <c r="K199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00" spans="3:11" x14ac:dyDescent="0.2">
      <c r="C200"/>
      <c r="H200"/>
      <c r="I200"/>
      <c r="J200" t="str">
        <f>OWP_Calc[[#This Row],[Team]]</f>
        <v/>
      </c>
      <c r="K200" s="6" t="e">
        <f>(IFERROR(GETPIVOTDATA("Sum of L OWP",$A$1,"W Team",OOWP_Calc[[#This Row],[TEAM]]),0)+IFERROR(GETPIVOTDATA("Sum of L OWP",$F$1,"L Team",OOWP_Calc[[#This Row],[TEAM]]),0))/(IFERROR(GETPIVOTDATA("Count of L Team",$A$1,"W Team",OOWP_Calc[[#This Row],[TEAM]]),0)+IFERROR(GETPIVOTDATA("Count of L Team",$F$1,"L Team",OOWP_Calc[[#This Row],[TEAM]]),0))</f>
        <v>#DIV/0!</v>
      </c>
    </row>
    <row r="201" spans="3:11" x14ac:dyDescent="0.2">
      <c r="C201"/>
      <c r="H201"/>
      <c r="I201"/>
      <c r="J201"/>
    </row>
    <row r="202" spans="3:11" x14ac:dyDescent="0.2">
      <c r="C202"/>
      <c r="H202"/>
      <c r="I202"/>
      <c r="J202"/>
    </row>
    <row r="203" spans="3:11" x14ac:dyDescent="0.2">
      <c r="C203"/>
      <c r="H203"/>
      <c r="I203"/>
      <c r="J203"/>
    </row>
    <row r="204" spans="3:11" x14ac:dyDescent="0.2">
      <c r="C204"/>
      <c r="H204"/>
      <c r="I204"/>
      <c r="J204"/>
    </row>
    <row r="205" spans="3:11" x14ac:dyDescent="0.2">
      <c r="C205"/>
      <c r="H205"/>
      <c r="I205"/>
      <c r="J205"/>
    </row>
    <row r="206" spans="3:11" x14ac:dyDescent="0.2">
      <c r="C206"/>
      <c r="H206"/>
      <c r="I206"/>
      <c r="J206"/>
    </row>
    <row r="207" spans="3:11" x14ac:dyDescent="0.2">
      <c r="C207"/>
      <c r="H207"/>
      <c r="I207"/>
      <c r="J207"/>
    </row>
    <row r="208" spans="3:11" x14ac:dyDescent="0.2">
      <c r="C208"/>
      <c r="H208"/>
      <c r="I208"/>
      <c r="J208"/>
    </row>
    <row r="209" spans="3:10" x14ac:dyDescent="0.2">
      <c r="C209"/>
      <c r="H209"/>
      <c r="I209"/>
      <c r="J209"/>
    </row>
    <row r="210" spans="3:10" x14ac:dyDescent="0.2">
      <c r="C210"/>
      <c r="H210"/>
      <c r="I210"/>
      <c r="J210"/>
    </row>
    <row r="211" spans="3:10" x14ac:dyDescent="0.2">
      <c r="C211"/>
      <c r="H211"/>
      <c r="I211"/>
      <c r="J211"/>
    </row>
    <row r="212" spans="3:10" x14ac:dyDescent="0.2">
      <c r="C212"/>
      <c r="H212"/>
      <c r="I212"/>
      <c r="J212"/>
    </row>
    <row r="213" spans="3:10" x14ac:dyDescent="0.2">
      <c r="C213"/>
      <c r="H213"/>
      <c r="I213"/>
      <c r="J213"/>
    </row>
    <row r="214" spans="3:10" x14ac:dyDescent="0.2">
      <c r="C214"/>
      <c r="H214"/>
      <c r="I214"/>
      <c r="J214"/>
    </row>
    <row r="215" spans="3:10" x14ac:dyDescent="0.2">
      <c r="C215"/>
      <c r="H215"/>
      <c r="I215"/>
      <c r="J215"/>
    </row>
    <row r="216" spans="3:10" x14ac:dyDescent="0.2">
      <c r="C216"/>
      <c r="H216"/>
      <c r="I216"/>
      <c r="J216"/>
    </row>
    <row r="217" spans="3:10" x14ac:dyDescent="0.2">
      <c r="C217"/>
      <c r="H217"/>
      <c r="I217"/>
      <c r="J217"/>
    </row>
    <row r="218" spans="3:10" x14ac:dyDescent="0.2">
      <c r="C218"/>
      <c r="H218"/>
      <c r="I218"/>
      <c r="J218"/>
    </row>
    <row r="219" spans="3:10" x14ac:dyDescent="0.2">
      <c r="C219"/>
      <c r="H219"/>
      <c r="I219"/>
      <c r="J219"/>
    </row>
    <row r="220" spans="3:10" x14ac:dyDescent="0.2">
      <c r="C220"/>
      <c r="H220"/>
      <c r="I220"/>
      <c r="J220"/>
    </row>
    <row r="221" spans="3:10" x14ac:dyDescent="0.2">
      <c r="C221"/>
      <c r="H221"/>
      <c r="I221"/>
      <c r="J221"/>
    </row>
    <row r="222" spans="3:10" x14ac:dyDescent="0.2">
      <c r="C222"/>
      <c r="H222"/>
      <c r="I222"/>
      <c r="J222"/>
    </row>
    <row r="223" spans="3:10" x14ac:dyDescent="0.2">
      <c r="C223"/>
      <c r="H223"/>
      <c r="I223"/>
      <c r="J223"/>
    </row>
    <row r="224" spans="3:10" x14ac:dyDescent="0.2">
      <c r="C224"/>
      <c r="H224"/>
      <c r="I224"/>
      <c r="J224"/>
    </row>
    <row r="225" spans="3:10" x14ac:dyDescent="0.2">
      <c r="C225"/>
      <c r="H225"/>
      <c r="I225"/>
      <c r="J225"/>
    </row>
    <row r="226" spans="3:10" x14ac:dyDescent="0.2">
      <c r="C226"/>
      <c r="H226"/>
      <c r="I226"/>
      <c r="J226"/>
    </row>
    <row r="227" spans="3:10" x14ac:dyDescent="0.2">
      <c r="C227"/>
      <c r="H227"/>
      <c r="I227"/>
      <c r="J227"/>
    </row>
    <row r="228" spans="3:10" x14ac:dyDescent="0.2">
      <c r="C228"/>
      <c r="H228"/>
      <c r="I228"/>
      <c r="J228"/>
    </row>
    <row r="229" spans="3:10" x14ac:dyDescent="0.2">
      <c r="C229"/>
      <c r="H229"/>
      <c r="I229"/>
      <c r="J229"/>
    </row>
    <row r="230" spans="3:10" x14ac:dyDescent="0.2">
      <c r="C230"/>
      <c r="H230"/>
      <c r="I230"/>
      <c r="J230"/>
    </row>
    <row r="231" spans="3:10" x14ac:dyDescent="0.2">
      <c r="C231"/>
      <c r="H231"/>
      <c r="I231"/>
      <c r="J231"/>
    </row>
    <row r="232" spans="3:10" x14ac:dyDescent="0.2">
      <c r="C232"/>
      <c r="H232"/>
      <c r="I232"/>
      <c r="J232"/>
    </row>
    <row r="233" spans="3:10" x14ac:dyDescent="0.2">
      <c r="C233"/>
      <c r="H233"/>
      <c r="I233"/>
      <c r="J233"/>
    </row>
    <row r="234" spans="3:10" x14ac:dyDescent="0.2">
      <c r="C234"/>
      <c r="H234"/>
      <c r="I234"/>
      <c r="J234"/>
    </row>
    <row r="235" spans="3:10" x14ac:dyDescent="0.2">
      <c r="C235"/>
      <c r="H235"/>
      <c r="I235"/>
      <c r="J235"/>
    </row>
    <row r="236" spans="3:10" x14ac:dyDescent="0.2">
      <c r="C236"/>
      <c r="H236"/>
      <c r="I236"/>
      <c r="J236"/>
    </row>
    <row r="237" spans="3:10" x14ac:dyDescent="0.2">
      <c r="C237"/>
      <c r="H237"/>
      <c r="I237"/>
      <c r="J237"/>
    </row>
    <row r="238" spans="3:10" x14ac:dyDescent="0.2">
      <c r="C238"/>
      <c r="H238"/>
      <c r="I238"/>
      <c r="J238"/>
    </row>
    <row r="239" spans="3:10" x14ac:dyDescent="0.2">
      <c r="C239"/>
      <c r="H239"/>
      <c r="I239"/>
      <c r="J239"/>
    </row>
    <row r="240" spans="3:10" x14ac:dyDescent="0.2">
      <c r="C240"/>
      <c r="H240"/>
      <c r="I240"/>
      <c r="J240"/>
    </row>
    <row r="241" spans="3:10" x14ac:dyDescent="0.2">
      <c r="C241"/>
      <c r="H241"/>
      <c r="I241"/>
      <c r="J241"/>
    </row>
    <row r="242" spans="3:10" x14ac:dyDescent="0.2">
      <c r="C242"/>
      <c r="H242"/>
      <c r="I242"/>
      <c r="J242"/>
    </row>
    <row r="243" spans="3:10" x14ac:dyDescent="0.2">
      <c r="C243"/>
      <c r="H243"/>
      <c r="I243"/>
      <c r="J243"/>
    </row>
    <row r="244" spans="3:10" x14ac:dyDescent="0.2">
      <c r="C244"/>
      <c r="H244"/>
      <c r="I244"/>
      <c r="J244"/>
    </row>
    <row r="245" spans="3:10" x14ac:dyDescent="0.2">
      <c r="C245"/>
      <c r="H245"/>
      <c r="I245"/>
      <c r="J245"/>
    </row>
    <row r="246" spans="3:10" x14ac:dyDescent="0.2">
      <c r="C246"/>
      <c r="H246"/>
      <c r="I246"/>
      <c r="J246"/>
    </row>
    <row r="247" spans="3:10" x14ac:dyDescent="0.2">
      <c r="C247"/>
      <c r="H247"/>
      <c r="I247"/>
      <c r="J247"/>
    </row>
    <row r="248" spans="3:10" x14ac:dyDescent="0.2">
      <c r="C248"/>
      <c r="H248"/>
      <c r="I248"/>
      <c r="J248"/>
    </row>
    <row r="249" spans="3:10" x14ac:dyDescent="0.2">
      <c r="C249"/>
      <c r="H249"/>
      <c r="I249"/>
      <c r="J249"/>
    </row>
    <row r="250" spans="3:10" x14ac:dyDescent="0.2">
      <c r="C250"/>
      <c r="H250"/>
      <c r="I250"/>
      <c r="J250"/>
    </row>
    <row r="251" spans="3:10" x14ac:dyDescent="0.2">
      <c r="C251"/>
      <c r="H251"/>
      <c r="I251"/>
      <c r="J251"/>
    </row>
    <row r="252" spans="3:10" x14ac:dyDescent="0.2">
      <c r="C252"/>
      <c r="H252"/>
      <c r="I252"/>
      <c r="J252"/>
    </row>
    <row r="253" spans="3:10" x14ac:dyDescent="0.2">
      <c r="C253"/>
      <c r="H253"/>
      <c r="I253"/>
      <c r="J253"/>
    </row>
    <row r="254" spans="3:10" x14ac:dyDescent="0.2">
      <c r="C254"/>
      <c r="H254"/>
      <c r="I254"/>
      <c r="J254"/>
    </row>
    <row r="255" spans="3:10" x14ac:dyDescent="0.2">
      <c r="C255"/>
      <c r="H255"/>
      <c r="I255"/>
      <c r="J255"/>
    </row>
    <row r="256" spans="3:10" x14ac:dyDescent="0.2">
      <c r="C256"/>
      <c r="H256"/>
      <c r="I256"/>
      <c r="J256"/>
    </row>
    <row r="257" spans="3:10" x14ac:dyDescent="0.2">
      <c r="C257"/>
      <c r="H257"/>
      <c r="I257"/>
      <c r="J257"/>
    </row>
    <row r="258" spans="3:10" x14ac:dyDescent="0.2">
      <c r="C258"/>
      <c r="H258"/>
      <c r="I258"/>
      <c r="J258"/>
    </row>
    <row r="259" spans="3:10" x14ac:dyDescent="0.2">
      <c r="C259"/>
      <c r="H259"/>
      <c r="I259"/>
      <c r="J259"/>
    </row>
    <row r="260" spans="3:10" x14ac:dyDescent="0.2">
      <c r="C260"/>
      <c r="H260"/>
      <c r="I260"/>
      <c r="J260"/>
    </row>
    <row r="261" spans="3:10" x14ac:dyDescent="0.2">
      <c r="C261"/>
      <c r="H261"/>
      <c r="I261"/>
      <c r="J261"/>
    </row>
    <row r="262" spans="3:10" x14ac:dyDescent="0.2">
      <c r="C262"/>
      <c r="H262"/>
      <c r="I262"/>
      <c r="J262"/>
    </row>
    <row r="263" spans="3:10" x14ac:dyDescent="0.2">
      <c r="C263"/>
      <c r="H263"/>
      <c r="I263"/>
      <c r="J263"/>
    </row>
    <row r="264" spans="3:10" x14ac:dyDescent="0.2">
      <c r="C264"/>
      <c r="H264"/>
      <c r="I264"/>
      <c r="J264"/>
    </row>
    <row r="265" spans="3:10" x14ac:dyDescent="0.2">
      <c r="C265"/>
      <c r="H265"/>
      <c r="I265"/>
      <c r="J265"/>
    </row>
    <row r="266" spans="3:10" x14ac:dyDescent="0.2">
      <c r="C266"/>
      <c r="H266"/>
      <c r="I266"/>
      <c r="J266"/>
    </row>
    <row r="267" spans="3:10" x14ac:dyDescent="0.2">
      <c r="C267"/>
      <c r="H267"/>
      <c r="I267"/>
      <c r="J267"/>
    </row>
    <row r="268" spans="3:10" x14ac:dyDescent="0.2">
      <c r="C268"/>
      <c r="H268"/>
      <c r="I268"/>
      <c r="J268"/>
    </row>
    <row r="269" spans="3:10" x14ac:dyDescent="0.2">
      <c r="C269"/>
      <c r="H269"/>
      <c r="I269"/>
      <c r="J269"/>
    </row>
    <row r="270" spans="3:10" x14ac:dyDescent="0.2">
      <c r="C270"/>
      <c r="H270"/>
      <c r="I270"/>
      <c r="J270"/>
    </row>
    <row r="271" spans="3:10" x14ac:dyDescent="0.2">
      <c r="C271"/>
      <c r="H271"/>
      <c r="I271"/>
      <c r="J271"/>
    </row>
    <row r="272" spans="3:10" x14ac:dyDescent="0.2">
      <c r="C272"/>
      <c r="H272"/>
      <c r="I272"/>
      <c r="J272"/>
    </row>
    <row r="273" spans="3:10" x14ac:dyDescent="0.2">
      <c r="C273"/>
      <c r="H273"/>
      <c r="I273"/>
      <c r="J273"/>
    </row>
    <row r="274" spans="3:10" x14ac:dyDescent="0.2">
      <c r="C274"/>
      <c r="H274"/>
      <c r="I274"/>
      <c r="J274"/>
    </row>
    <row r="275" spans="3:10" x14ac:dyDescent="0.2">
      <c r="C275"/>
      <c r="H275"/>
      <c r="I275"/>
      <c r="J275"/>
    </row>
    <row r="276" spans="3:10" x14ac:dyDescent="0.2">
      <c r="C276"/>
      <c r="H276"/>
      <c r="I276"/>
      <c r="J276"/>
    </row>
    <row r="277" spans="3:10" x14ac:dyDescent="0.2">
      <c r="C277"/>
      <c r="H277"/>
      <c r="I277"/>
      <c r="J277"/>
    </row>
    <row r="278" spans="3:10" x14ac:dyDescent="0.2">
      <c r="C278"/>
      <c r="H278"/>
      <c r="I278"/>
      <c r="J278"/>
    </row>
    <row r="279" spans="3:10" x14ac:dyDescent="0.2">
      <c r="C279"/>
      <c r="H279"/>
      <c r="I279"/>
      <c r="J279"/>
    </row>
    <row r="280" spans="3:10" x14ac:dyDescent="0.2">
      <c r="C280"/>
      <c r="H280"/>
      <c r="I280"/>
      <c r="J280"/>
    </row>
    <row r="281" spans="3:10" x14ac:dyDescent="0.2">
      <c r="C281"/>
      <c r="H281"/>
      <c r="I281"/>
      <c r="J281"/>
    </row>
    <row r="282" spans="3:10" x14ac:dyDescent="0.2">
      <c r="C282"/>
      <c r="H282"/>
      <c r="I282"/>
      <c r="J282"/>
    </row>
    <row r="283" spans="3:10" x14ac:dyDescent="0.2">
      <c r="C283"/>
      <c r="H283"/>
      <c r="I283"/>
      <c r="J283"/>
    </row>
    <row r="284" spans="3:10" x14ac:dyDescent="0.2">
      <c r="C284"/>
      <c r="H284"/>
      <c r="I284"/>
      <c r="J284"/>
    </row>
    <row r="285" spans="3:10" x14ac:dyDescent="0.2">
      <c r="C285"/>
      <c r="H285"/>
      <c r="I285"/>
      <c r="J285"/>
    </row>
    <row r="286" spans="3:10" x14ac:dyDescent="0.2">
      <c r="C286"/>
      <c r="H286"/>
      <c r="I286"/>
      <c r="J286"/>
    </row>
    <row r="287" spans="3:10" x14ac:dyDescent="0.2">
      <c r="C287"/>
      <c r="H287"/>
      <c r="I287"/>
      <c r="J287"/>
    </row>
    <row r="288" spans="3:10" x14ac:dyDescent="0.2">
      <c r="C288"/>
      <c r="H288"/>
      <c r="I288"/>
      <c r="J288"/>
    </row>
    <row r="289" spans="3:10" x14ac:dyDescent="0.2">
      <c r="C289"/>
      <c r="H289"/>
      <c r="I289"/>
      <c r="J289"/>
    </row>
    <row r="290" spans="3:10" x14ac:dyDescent="0.2">
      <c r="C290"/>
      <c r="H290"/>
      <c r="I290"/>
      <c r="J290"/>
    </row>
    <row r="291" spans="3:10" x14ac:dyDescent="0.2">
      <c r="C291"/>
      <c r="H291"/>
      <c r="I291"/>
      <c r="J291"/>
    </row>
    <row r="292" spans="3:10" x14ac:dyDescent="0.2">
      <c r="C292"/>
      <c r="H292"/>
      <c r="I292"/>
      <c r="J292"/>
    </row>
    <row r="293" spans="3:10" x14ac:dyDescent="0.2">
      <c r="C293"/>
      <c r="H293"/>
      <c r="I293"/>
      <c r="J293"/>
    </row>
    <row r="294" spans="3:10" x14ac:dyDescent="0.2">
      <c r="C294"/>
      <c r="H294"/>
      <c r="I294"/>
      <c r="J294"/>
    </row>
    <row r="295" spans="3:10" x14ac:dyDescent="0.2">
      <c r="C295"/>
      <c r="H295"/>
      <c r="I295"/>
      <c r="J295"/>
    </row>
    <row r="296" spans="3:10" x14ac:dyDescent="0.2">
      <c r="C296"/>
      <c r="H296"/>
      <c r="I296"/>
      <c r="J296"/>
    </row>
    <row r="297" spans="3:10" x14ac:dyDescent="0.2">
      <c r="C297"/>
      <c r="H297"/>
      <c r="I297"/>
      <c r="J297"/>
    </row>
    <row r="298" spans="3:10" x14ac:dyDescent="0.2">
      <c r="C298"/>
      <c r="H298"/>
      <c r="I298"/>
      <c r="J298"/>
    </row>
    <row r="299" spans="3:10" x14ac:dyDescent="0.2">
      <c r="C299"/>
      <c r="H299"/>
      <c r="I299"/>
      <c r="J299"/>
    </row>
    <row r="300" spans="3:10" x14ac:dyDescent="0.2">
      <c r="C300"/>
      <c r="H300"/>
      <c r="I300"/>
      <c r="J300"/>
    </row>
    <row r="301" spans="3:10" x14ac:dyDescent="0.2">
      <c r="C301"/>
      <c r="H301"/>
      <c r="I301"/>
      <c r="J301"/>
    </row>
    <row r="302" spans="3:10" x14ac:dyDescent="0.2">
      <c r="C302"/>
      <c r="H302"/>
      <c r="I302"/>
      <c r="J302"/>
    </row>
    <row r="303" spans="3:10" x14ac:dyDescent="0.2">
      <c r="C303"/>
      <c r="H303"/>
      <c r="I303"/>
      <c r="J303"/>
    </row>
    <row r="304" spans="3:10" x14ac:dyDescent="0.2">
      <c r="C304"/>
      <c r="H304"/>
      <c r="I304"/>
      <c r="J304"/>
    </row>
    <row r="305" spans="3:10" x14ac:dyDescent="0.2">
      <c r="C305"/>
      <c r="H305"/>
      <c r="I305"/>
      <c r="J305"/>
    </row>
    <row r="306" spans="3:10" x14ac:dyDescent="0.2">
      <c r="C306"/>
      <c r="H306"/>
      <c r="I306"/>
      <c r="J306"/>
    </row>
    <row r="307" spans="3:10" x14ac:dyDescent="0.2">
      <c r="C307"/>
      <c r="H307"/>
      <c r="I307"/>
      <c r="J307"/>
    </row>
    <row r="308" spans="3:10" x14ac:dyDescent="0.2">
      <c r="C308"/>
      <c r="H308"/>
      <c r="I308"/>
      <c r="J308"/>
    </row>
    <row r="309" spans="3:10" x14ac:dyDescent="0.2">
      <c r="C309"/>
      <c r="H309"/>
      <c r="I309"/>
      <c r="J309"/>
    </row>
    <row r="310" spans="3:10" x14ac:dyDescent="0.2">
      <c r="C310"/>
      <c r="H310"/>
      <c r="I310"/>
      <c r="J310"/>
    </row>
    <row r="311" spans="3:10" x14ac:dyDescent="0.2">
      <c r="C311"/>
      <c r="H311"/>
      <c r="I311"/>
      <c r="J311"/>
    </row>
    <row r="312" spans="3:10" x14ac:dyDescent="0.2">
      <c r="C312"/>
      <c r="H312"/>
      <c r="I312"/>
      <c r="J312"/>
    </row>
    <row r="313" spans="3:10" x14ac:dyDescent="0.2">
      <c r="C313"/>
      <c r="H313"/>
      <c r="I313"/>
      <c r="J313"/>
    </row>
    <row r="314" spans="3:10" x14ac:dyDescent="0.2">
      <c r="C314"/>
      <c r="H314"/>
      <c r="I314"/>
      <c r="J314"/>
    </row>
    <row r="315" spans="3:10" x14ac:dyDescent="0.2">
      <c r="C315"/>
      <c r="H315"/>
      <c r="I315"/>
      <c r="J315"/>
    </row>
    <row r="316" spans="3:10" x14ac:dyDescent="0.2">
      <c r="C316"/>
      <c r="H316"/>
      <c r="I316"/>
      <c r="J316"/>
    </row>
    <row r="317" spans="3:10" x14ac:dyDescent="0.2">
      <c r="C317"/>
      <c r="H317"/>
      <c r="I317"/>
      <c r="J317"/>
    </row>
    <row r="318" spans="3:10" x14ac:dyDescent="0.2">
      <c r="C318"/>
      <c r="H318"/>
      <c r="I318"/>
      <c r="J318"/>
    </row>
    <row r="319" spans="3:10" x14ac:dyDescent="0.2">
      <c r="C319"/>
      <c r="H319"/>
      <c r="I319"/>
      <c r="J319"/>
    </row>
    <row r="320" spans="3:10" x14ac:dyDescent="0.2">
      <c r="C320"/>
      <c r="H320"/>
      <c r="I320"/>
      <c r="J320"/>
    </row>
    <row r="321" spans="3:10" x14ac:dyDescent="0.2">
      <c r="C321"/>
      <c r="H321"/>
      <c r="I321"/>
      <c r="J321"/>
    </row>
    <row r="322" spans="3:10" x14ac:dyDescent="0.2">
      <c r="C322"/>
      <c r="H322"/>
      <c r="I322"/>
      <c r="J322"/>
    </row>
    <row r="323" spans="3:10" x14ac:dyDescent="0.2">
      <c r="C323"/>
      <c r="H323"/>
      <c r="I323"/>
      <c r="J323"/>
    </row>
    <row r="324" spans="3:10" x14ac:dyDescent="0.2">
      <c r="C324"/>
      <c r="H324"/>
      <c r="I324"/>
      <c r="J324"/>
    </row>
    <row r="325" spans="3:10" x14ac:dyDescent="0.2">
      <c r="C325"/>
      <c r="H325"/>
      <c r="I325"/>
      <c r="J325"/>
    </row>
    <row r="326" spans="3:10" x14ac:dyDescent="0.2">
      <c r="C326"/>
      <c r="H326"/>
      <c r="I326"/>
      <c r="J326"/>
    </row>
    <row r="327" spans="3:10" x14ac:dyDescent="0.2">
      <c r="C327"/>
      <c r="H327"/>
      <c r="I327"/>
      <c r="J327"/>
    </row>
    <row r="328" spans="3:10" x14ac:dyDescent="0.2">
      <c r="C328"/>
      <c r="H328"/>
      <c r="I328"/>
      <c r="J328"/>
    </row>
    <row r="329" spans="3:10" x14ac:dyDescent="0.2">
      <c r="C329"/>
      <c r="H329"/>
      <c r="I329"/>
      <c r="J329"/>
    </row>
    <row r="330" spans="3:10" x14ac:dyDescent="0.2">
      <c r="C330"/>
      <c r="H330"/>
      <c r="I330"/>
      <c r="J330"/>
    </row>
    <row r="331" spans="3:10" x14ac:dyDescent="0.2">
      <c r="C331"/>
      <c r="H331"/>
      <c r="I331"/>
      <c r="J331"/>
    </row>
    <row r="332" spans="3:10" x14ac:dyDescent="0.2">
      <c r="C332"/>
      <c r="H332"/>
      <c r="I332"/>
      <c r="J332"/>
    </row>
    <row r="333" spans="3:10" x14ac:dyDescent="0.2">
      <c r="C333"/>
      <c r="H333"/>
      <c r="I333"/>
      <c r="J333"/>
    </row>
    <row r="334" spans="3:10" x14ac:dyDescent="0.2">
      <c r="C334"/>
      <c r="H334"/>
      <c r="I334"/>
      <c r="J334"/>
    </row>
    <row r="335" spans="3:10" x14ac:dyDescent="0.2">
      <c r="C335"/>
      <c r="H335"/>
      <c r="I335"/>
      <c r="J335"/>
    </row>
    <row r="336" spans="3:10" x14ac:dyDescent="0.2">
      <c r="C336"/>
      <c r="H336"/>
      <c r="I336"/>
      <c r="J336"/>
    </row>
    <row r="337" spans="3:10" x14ac:dyDescent="0.2">
      <c r="C337"/>
      <c r="H337"/>
      <c r="I337"/>
      <c r="J337"/>
    </row>
    <row r="338" spans="3:10" x14ac:dyDescent="0.2">
      <c r="C338"/>
      <c r="H338"/>
      <c r="I338"/>
      <c r="J338"/>
    </row>
    <row r="339" spans="3:10" x14ac:dyDescent="0.2">
      <c r="C339"/>
      <c r="H339"/>
      <c r="I339"/>
      <c r="J339"/>
    </row>
    <row r="340" spans="3:10" x14ac:dyDescent="0.2">
      <c r="C340"/>
      <c r="H340"/>
      <c r="I340"/>
      <c r="J340"/>
    </row>
    <row r="341" spans="3:10" x14ac:dyDescent="0.2">
      <c r="C341"/>
      <c r="H341"/>
      <c r="I341"/>
      <c r="J341"/>
    </row>
    <row r="342" spans="3:10" x14ac:dyDescent="0.2">
      <c r="C342"/>
      <c r="H342"/>
      <c r="I342"/>
      <c r="J342"/>
    </row>
    <row r="343" spans="3:10" x14ac:dyDescent="0.2">
      <c r="C343"/>
      <c r="H343"/>
      <c r="I343"/>
      <c r="J343"/>
    </row>
    <row r="344" spans="3:10" x14ac:dyDescent="0.2">
      <c r="C344"/>
      <c r="H344"/>
      <c r="I344"/>
      <c r="J344"/>
    </row>
    <row r="345" spans="3:10" x14ac:dyDescent="0.2">
      <c r="C345"/>
      <c r="H345"/>
      <c r="I345"/>
      <c r="J345"/>
    </row>
    <row r="346" spans="3:10" x14ac:dyDescent="0.2">
      <c r="C346"/>
      <c r="H346"/>
      <c r="I346"/>
      <c r="J346"/>
    </row>
    <row r="347" spans="3:10" x14ac:dyDescent="0.2">
      <c r="C347"/>
      <c r="H347"/>
      <c r="I347"/>
      <c r="J347"/>
    </row>
    <row r="348" spans="3:10" x14ac:dyDescent="0.2">
      <c r="C348"/>
      <c r="H348"/>
      <c r="I348"/>
      <c r="J348"/>
    </row>
    <row r="349" spans="3:10" x14ac:dyDescent="0.2">
      <c r="C349"/>
      <c r="H349"/>
      <c r="I349"/>
      <c r="J349"/>
    </row>
    <row r="350" spans="3:10" x14ac:dyDescent="0.2">
      <c r="C350"/>
      <c r="H350"/>
      <c r="I350"/>
      <c r="J350"/>
    </row>
    <row r="351" spans="3:10" x14ac:dyDescent="0.2">
      <c r="C351"/>
      <c r="H351"/>
      <c r="I351"/>
      <c r="J351"/>
    </row>
    <row r="352" spans="3:10" x14ac:dyDescent="0.2">
      <c r="C352"/>
      <c r="H352"/>
      <c r="I352"/>
      <c r="J352"/>
    </row>
    <row r="353" spans="3:10" x14ac:dyDescent="0.2">
      <c r="C353"/>
      <c r="H353"/>
      <c r="I353"/>
      <c r="J353"/>
    </row>
    <row r="354" spans="3:10" x14ac:dyDescent="0.2">
      <c r="C354"/>
      <c r="H354"/>
      <c r="I354"/>
      <c r="J354"/>
    </row>
    <row r="355" spans="3:10" x14ac:dyDescent="0.2">
      <c r="C355"/>
      <c r="H355"/>
      <c r="I355"/>
      <c r="J355"/>
    </row>
    <row r="356" spans="3:10" x14ac:dyDescent="0.2">
      <c r="C356"/>
      <c r="H356"/>
      <c r="I356"/>
      <c r="J356"/>
    </row>
    <row r="357" spans="3:10" x14ac:dyDescent="0.2">
      <c r="C357"/>
      <c r="H357"/>
      <c r="I357"/>
      <c r="J357"/>
    </row>
    <row r="358" spans="3:10" x14ac:dyDescent="0.2">
      <c r="C358"/>
      <c r="H358"/>
      <c r="I358"/>
      <c r="J358"/>
    </row>
    <row r="359" spans="3:10" x14ac:dyDescent="0.2">
      <c r="C359"/>
      <c r="H359"/>
      <c r="I359"/>
      <c r="J359"/>
    </row>
    <row r="360" spans="3:10" x14ac:dyDescent="0.2">
      <c r="C360"/>
      <c r="H360"/>
      <c r="I360"/>
      <c r="J360"/>
    </row>
    <row r="361" spans="3:10" x14ac:dyDescent="0.2">
      <c r="C361"/>
      <c r="H361"/>
      <c r="I361"/>
      <c r="J361"/>
    </row>
    <row r="362" spans="3:10" x14ac:dyDescent="0.2">
      <c r="C362"/>
      <c r="H362"/>
      <c r="I362"/>
      <c r="J362"/>
    </row>
    <row r="363" spans="3:10" x14ac:dyDescent="0.2">
      <c r="C363"/>
      <c r="H363"/>
      <c r="I363"/>
      <c r="J363"/>
    </row>
    <row r="364" spans="3:10" x14ac:dyDescent="0.2">
      <c r="C364"/>
      <c r="H364"/>
      <c r="I364"/>
      <c r="J364"/>
    </row>
    <row r="365" spans="3:10" x14ac:dyDescent="0.2">
      <c r="C365"/>
      <c r="H365"/>
      <c r="I365"/>
      <c r="J365"/>
    </row>
    <row r="366" spans="3:10" x14ac:dyDescent="0.2">
      <c r="C366"/>
      <c r="H366"/>
      <c r="I366"/>
      <c r="J366"/>
    </row>
    <row r="367" spans="3:10" x14ac:dyDescent="0.2">
      <c r="C367"/>
      <c r="H367"/>
      <c r="I367"/>
      <c r="J367"/>
    </row>
    <row r="368" spans="3:10" x14ac:dyDescent="0.2">
      <c r="C368"/>
      <c r="H368"/>
      <c r="I368"/>
      <c r="J368"/>
    </row>
    <row r="369" spans="3:10" x14ac:dyDescent="0.2">
      <c r="C369"/>
      <c r="H369"/>
      <c r="I369"/>
      <c r="J369"/>
    </row>
    <row r="370" spans="3:10" x14ac:dyDescent="0.2">
      <c r="C370"/>
      <c r="H370"/>
      <c r="I370"/>
      <c r="J370"/>
    </row>
    <row r="371" spans="3:10" x14ac:dyDescent="0.2">
      <c r="C371"/>
      <c r="H371"/>
      <c r="I371"/>
      <c r="J371"/>
    </row>
    <row r="372" spans="3:10" x14ac:dyDescent="0.2">
      <c r="C372"/>
      <c r="H372"/>
      <c r="I372"/>
      <c r="J372"/>
    </row>
    <row r="373" spans="3:10" x14ac:dyDescent="0.2">
      <c r="C373"/>
      <c r="H373"/>
      <c r="I373"/>
      <c r="J373"/>
    </row>
    <row r="374" spans="3:10" x14ac:dyDescent="0.2">
      <c r="C374"/>
      <c r="H374"/>
      <c r="I374"/>
      <c r="J374"/>
    </row>
    <row r="375" spans="3:10" x14ac:dyDescent="0.2">
      <c r="C375"/>
      <c r="H375"/>
      <c r="I375"/>
      <c r="J375"/>
    </row>
    <row r="376" spans="3:10" x14ac:dyDescent="0.2">
      <c r="C376"/>
      <c r="H376"/>
      <c r="I376"/>
      <c r="J376"/>
    </row>
    <row r="377" spans="3:10" x14ac:dyDescent="0.2">
      <c r="C377"/>
      <c r="H377"/>
      <c r="I377"/>
      <c r="J377"/>
    </row>
    <row r="378" spans="3:10" x14ac:dyDescent="0.2">
      <c r="C378"/>
      <c r="H378"/>
      <c r="I378"/>
      <c r="J378"/>
    </row>
    <row r="379" spans="3:10" x14ac:dyDescent="0.2">
      <c r="C379"/>
      <c r="H379"/>
      <c r="I379"/>
      <c r="J379"/>
    </row>
    <row r="380" spans="3:10" x14ac:dyDescent="0.2">
      <c r="C380"/>
      <c r="H380"/>
      <c r="I380"/>
      <c r="J380"/>
    </row>
    <row r="381" spans="3:10" x14ac:dyDescent="0.2">
      <c r="C381"/>
      <c r="H381"/>
      <c r="I381"/>
      <c r="J381"/>
    </row>
    <row r="382" spans="3:10" x14ac:dyDescent="0.2">
      <c r="C382"/>
      <c r="H382"/>
      <c r="I382"/>
      <c r="J382"/>
    </row>
    <row r="383" spans="3:10" x14ac:dyDescent="0.2">
      <c r="C383"/>
      <c r="H383"/>
      <c r="I383"/>
      <c r="J383"/>
    </row>
    <row r="384" spans="3:10" x14ac:dyDescent="0.2">
      <c r="C384"/>
      <c r="H384"/>
      <c r="I384"/>
      <c r="J384"/>
    </row>
    <row r="385" spans="3:10" x14ac:dyDescent="0.2">
      <c r="C385"/>
      <c r="H385"/>
      <c r="I385"/>
      <c r="J385"/>
    </row>
    <row r="386" spans="3:10" x14ac:dyDescent="0.2">
      <c r="C386"/>
      <c r="H386"/>
      <c r="I386"/>
      <c r="J386"/>
    </row>
    <row r="387" spans="3:10" x14ac:dyDescent="0.2">
      <c r="C387"/>
      <c r="H387"/>
      <c r="I387"/>
      <c r="J387"/>
    </row>
    <row r="388" spans="3:10" x14ac:dyDescent="0.2">
      <c r="C388"/>
      <c r="H388"/>
      <c r="I388"/>
      <c r="J388"/>
    </row>
    <row r="389" spans="3:10" x14ac:dyDescent="0.2">
      <c r="C389"/>
      <c r="H389"/>
      <c r="I389"/>
      <c r="J389"/>
    </row>
    <row r="390" spans="3:10" x14ac:dyDescent="0.2">
      <c r="C390"/>
      <c r="H390"/>
      <c r="I390"/>
      <c r="J390"/>
    </row>
    <row r="391" spans="3:10" x14ac:dyDescent="0.2">
      <c r="C391"/>
      <c r="H391"/>
      <c r="I391"/>
      <c r="J391"/>
    </row>
    <row r="392" spans="3:10" x14ac:dyDescent="0.2">
      <c r="C392"/>
      <c r="H392"/>
      <c r="I392"/>
      <c r="J392"/>
    </row>
    <row r="393" spans="3:10" x14ac:dyDescent="0.2">
      <c r="C393"/>
      <c r="H393"/>
      <c r="I393"/>
      <c r="J393"/>
    </row>
    <row r="394" spans="3:10" x14ac:dyDescent="0.2">
      <c r="C394"/>
      <c r="H394"/>
      <c r="I394"/>
      <c r="J394"/>
    </row>
    <row r="395" spans="3:10" x14ac:dyDescent="0.2">
      <c r="C395"/>
      <c r="H395"/>
      <c r="I395"/>
      <c r="J395"/>
    </row>
    <row r="396" spans="3:10" x14ac:dyDescent="0.2">
      <c r="C396"/>
      <c r="H396"/>
      <c r="I396"/>
      <c r="J396"/>
    </row>
    <row r="397" spans="3:10" x14ac:dyDescent="0.2">
      <c r="C397"/>
      <c r="H397"/>
      <c r="I397"/>
      <c r="J397"/>
    </row>
    <row r="398" spans="3:10" x14ac:dyDescent="0.2">
      <c r="C398"/>
      <c r="H398"/>
      <c r="I398"/>
      <c r="J398"/>
    </row>
    <row r="399" spans="3:10" x14ac:dyDescent="0.2">
      <c r="C399"/>
      <c r="H399"/>
      <c r="I399"/>
      <c r="J399"/>
    </row>
    <row r="400" spans="3:10" x14ac:dyDescent="0.2">
      <c r="C400"/>
      <c r="H400"/>
      <c r="I400"/>
      <c r="J400"/>
    </row>
    <row r="401" spans="3:10" x14ac:dyDescent="0.2">
      <c r="C401"/>
      <c r="H401"/>
      <c r="I401"/>
      <c r="J401"/>
    </row>
    <row r="402" spans="3:10" x14ac:dyDescent="0.2">
      <c r="C402"/>
      <c r="H402"/>
      <c r="I402"/>
      <c r="J402"/>
    </row>
    <row r="403" spans="3:10" x14ac:dyDescent="0.2">
      <c r="C403"/>
      <c r="H403"/>
      <c r="I403"/>
      <c r="J403"/>
    </row>
    <row r="404" spans="3:10" x14ac:dyDescent="0.2">
      <c r="C404"/>
      <c r="H404"/>
      <c r="I404"/>
      <c r="J404"/>
    </row>
    <row r="405" spans="3:10" x14ac:dyDescent="0.2">
      <c r="C405"/>
      <c r="H405"/>
      <c r="I405"/>
      <c r="J405"/>
    </row>
    <row r="406" spans="3:10" x14ac:dyDescent="0.2">
      <c r="C406"/>
      <c r="H406"/>
      <c r="I406"/>
      <c r="J406"/>
    </row>
    <row r="407" spans="3:10" x14ac:dyDescent="0.2">
      <c r="C407"/>
      <c r="H407"/>
      <c r="I407"/>
      <c r="J407"/>
    </row>
    <row r="408" spans="3:10" x14ac:dyDescent="0.2">
      <c r="C408"/>
      <c r="H408"/>
      <c r="I408"/>
      <c r="J408"/>
    </row>
    <row r="409" spans="3:10" x14ac:dyDescent="0.2">
      <c r="C409"/>
      <c r="H409"/>
      <c r="I409"/>
      <c r="J409"/>
    </row>
    <row r="410" spans="3:10" x14ac:dyDescent="0.2">
      <c r="C410"/>
      <c r="H410"/>
      <c r="I410"/>
      <c r="J410"/>
    </row>
    <row r="411" spans="3:10" x14ac:dyDescent="0.2">
      <c r="C411"/>
      <c r="H411"/>
      <c r="I411"/>
      <c r="J411"/>
    </row>
    <row r="412" spans="3:10" x14ac:dyDescent="0.2">
      <c r="C412"/>
      <c r="H412"/>
      <c r="I412"/>
      <c r="J412"/>
    </row>
    <row r="413" spans="3:10" x14ac:dyDescent="0.2">
      <c r="C413"/>
      <c r="H413"/>
      <c r="I413"/>
      <c r="J413"/>
    </row>
    <row r="414" spans="3:10" x14ac:dyDescent="0.2">
      <c r="C414"/>
      <c r="H414"/>
      <c r="I414"/>
      <c r="J414"/>
    </row>
    <row r="415" spans="3:10" x14ac:dyDescent="0.2">
      <c r="C415"/>
      <c r="H415"/>
      <c r="I415"/>
      <c r="J415"/>
    </row>
    <row r="416" spans="3:10" x14ac:dyDescent="0.2">
      <c r="C416"/>
      <c r="H416"/>
      <c r="I416"/>
      <c r="J416"/>
    </row>
    <row r="417" spans="3:10" x14ac:dyDescent="0.2">
      <c r="C417"/>
      <c r="H417"/>
      <c r="I417"/>
      <c r="J417"/>
    </row>
    <row r="418" spans="3:10" x14ac:dyDescent="0.2">
      <c r="C418"/>
      <c r="H418"/>
      <c r="I418"/>
      <c r="J418"/>
    </row>
    <row r="419" spans="3:10" x14ac:dyDescent="0.2">
      <c r="C419"/>
      <c r="H419"/>
      <c r="I419"/>
      <c r="J419"/>
    </row>
    <row r="420" spans="3:10" x14ac:dyDescent="0.2">
      <c r="C420"/>
      <c r="H420"/>
      <c r="I420"/>
      <c r="J420"/>
    </row>
    <row r="421" spans="3:10" x14ac:dyDescent="0.2">
      <c r="C421"/>
      <c r="H421"/>
      <c r="I421"/>
      <c r="J421"/>
    </row>
    <row r="422" spans="3:10" x14ac:dyDescent="0.2">
      <c r="C422"/>
      <c r="H422"/>
      <c r="I422"/>
      <c r="J422"/>
    </row>
    <row r="423" spans="3:10" x14ac:dyDescent="0.2">
      <c r="C423"/>
      <c r="H423"/>
      <c r="I423"/>
      <c r="J423"/>
    </row>
    <row r="424" spans="3:10" x14ac:dyDescent="0.2">
      <c r="C424"/>
      <c r="H424"/>
      <c r="I424"/>
      <c r="J424"/>
    </row>
    <row r="425" spans="3:10" x14ac:dyDescent="0.2">
      <c r="C425"/>
      <c r="H425"/>
      <c r="I425"/>
      <c r="J425"/>
    </row>
    <row r="426" spans="3:10" x14ac:dyDescent="0.2">
      <c r="C426"/>
      <c r="H426"/>
      <c r="I426"/>
      <c r="J426"/>
    </row>
    <row r="427" spans="3:10" x14ac:dyDescent="0.2">
      <c r="C427"/>
      <c r="H427"/>
      <c r="I427"/>
      <c r="J427"/>
    </row>
    <row r="428" spans="3:10" x14ac:dyDescent="0.2">
      <c r="C428"/>
      <c r="H428"/>
      <c r="I428"/>
      <c r="J428"/>
    </row>
    <row r="429" spans="3:10" x14ac:dyDescent="0.2">
      <c r="C429"/>
      <c r="H429"/>
      <c r="I429"/>
      <c r="J429"/>
    </row>
    <row r="430" spans="3:10" x14ac:dyDescent="0.2">
      <c r="C430"/>
      <c r="H430"/>
      <c r="I430"/>
      <c r="J430"/>
    </row>
    <row r="431" spans="3:10" x14ac:dyDescent="0.2">
      <c r="C431"/>
      <c r="H431"/>
      <c r="I431"/>
      <c r="J431"/>
    </row>
    <row r="432" spans="3:10" x14ac:dyDescent="0.2">
      <c r="C432"/>
      <c r="H432"/>
      <c r="I432"/>
      <c r="J432"/>
    </row>
    <row r="433" spans="3:10" x14ac:dyDescent="0.2">
      <c r="C433"/>
      <c r="H433"/>
      <c r="I433"/>
      <c r="J433"/>
    </row>
    <row r="434" spans="3:10" x14ac:dyDescent="0.2">
      <c r="C434"/>
      <c r="H434"/>
      <c r="I434"/>
      <c r="J434"/>
    </row>
    <row r="435" spans="3:10" x14ac:dyDescent="0.2">
      <c r="C435"/>
      <c r="H435"/>
      <c r="I435"/>
      <c r="J435"/>
    </row>
    <row r="436" spans="3:10" x14ac:dyDescent="0.2">
      <c r="C436"/>
      <c r="H436"/>
      <c r="I436"/>
      <c r="J436"/>
    </row>
    <row r="437" spans="3:10" x14ac:dyDescent="0.2">
      <c r="C437"/>
      <c r="H437"/>
      <c r="I437"/>
      <c r="J437"/>
    </row>
    <row r="438" spans="3:10" x14ac:dyDescent="0.2">
      <c r="C438"/>
      <c r="H438"/>
      <c r="I438"/>
      <c r="J438"/>
    </row>
    <row r="439" spans="3:10" x14ac:dyDescent="0.2">
      <c r="C439"/>
      <c r="H439"/>
      <c r="I439"/>
      <c r="J439"/>
    </row>
    <row r="440" spans="3:10" x14ac:dyDescent="0.2">
      <c r="C440"/>
      <c r="H440"/>
      <c r="I440"/>
      <c r="J440"/>
    </row>
    <row r="441" spans="3:10" x14ac:dyDescent="0.2">
      <c r="C441"/>
      <c r="H441"/>
      <c r="I441"/>
      <c r="J441"/>
    </row>
    <row r="442" spans="3:10" x14ac:dyDescent="0.2">
      <c r="C442"/>
      <c r="H442"/>
      <c r="I442"/>
      <c r="J442"/>
    </row>
    <row r="443" spans="3:10" x14ac:dyDescent="0.2">
      <c r="C443"/>
      <c r="H443"/>
      <c r="I443"/>
      <c r="J443"/>
    </row>
    <row r="444" spans="3:10" x14ac:dyDescent="0.2">
      <c r="C444"/>
      <c r="H444"/>
      <c r="I444"/>
      <c r="J444"/>
    </row>
    <row r="445" spans="3:10" x14ac:dyDescent="0.2">
      <c r="C445"/>
      <c r="H445"/>
      <c r="I445"/>
      <c r="J445"/>
    </row>
    <row r="446" spans="3:10" x14ac:dyDescent="0.2">
      <c r="C446"/>
      <c r="H446"/>
      <c r="I446"/>
      <c r="J446"/>
    </row>
    <row r="447" spans="3:10" x14ac:dyDescent="0.2">
      <c r="C447"/>
      <c r="H447"/>
      <c r="I447"/>
      <c r="J447"/>
    </row>
    <row r="448" spans="3:10" x14ac:dyDescent="0.2">
      <c r="C448"/>
      <c r="H448"/>
      <c r="I448"/>
      <c r="J448"/>
    </row>
    <row r="449" spans="3:10" x14ac:dyDescent="0.2">
      <c r="C449"/>
      <c r="H449"/>
      <c r="I449"/>
      <c r="J449"/>
    </row>
    <row r="450" spans="3:10" x14ac:dyDescent="0.2">
      <c r="C450"/>
      <c r="H450"/>
      <c r="I450"/>
      <c r="J450"/>
    </row>
    <row r="451" spans="3:10" x14ac:dyDescent="0.2">
      <c r="C451"/>
      <c r="H451"/>
      <c r="I451"/>
      <c r="J451"/>
    </row>
    <row r="452" spans="3:10" x14ac:dyDescent="0.2">
      <c r="C452"/>
      <c r="H452"/>
      <c r="I452"/>
      <c r="J452"/>
    </row>
    <row r="453" spans="3:10" x14ac:dyDescent="0.2">
      <c r="C453"/>
      <c r="H453"/>
      <c r="I453"/>
      <c r="J453"/>
    </row>
    <row r="454" spans="3:10" x14ac:dyDescent="0.2">
      <c r="C454"/>
      <c r="H454"/>
      <c r="I454"/>
      <c r="J454"/>
    </row>
    <row r="455" spans="3:10" x14ac:dyDescent="0.2">
      <c r="C455"/>
      <c r="H455"/>
      <c r="I455"/>
      <c r="J455"/>
    </row>
    <row r="456" spans="3:10" x14ac:dyDescent="0.2">
      <c r="C456"/>
      <c r="H456"/>
      <c r="I456"/>
      <c r="J456"/>
    </row>
    <row r="457" spans="3:10" x14ac:dyDescent="0.2">
      <c r="C457"/>
      <c r="H457"/>
      <c r="I457"/>
      <c r="J457"/>
    </row>
    <row r="458" spans="3:10" x14ac:dyDescent="0.2">
      <c r="C458"/>
      <c r="H458"/>
      <c r="I458"/>
      <c r="J458"/>
    </row>
    <row r="459" spans="3:10" x14ac:dyDescent="0.2">
      <c r="C459"/>
      <c r="H459"/>
      <c r="I459"/>
      <c r="J459"/>
    </row>
    <row r="460" spans="3:10" x14ac:dyDescent="0.2">
      <c r="C460"/>
      <c r="H460"/>
      <c r="I460"/>
      <c r="J460"/>
    </row>
    <row r="461" spans="3:10" x14ac:dyDescent="0.2">
      <c r="C461"/>
      <c r="H461"/>
      <c r="I461"/>
      <c r="J461"/>
    </row>
    <row r="462" spans="3:10" x14ac:dyDescent="0.2">
      <c r="C462"/>
      <c r="H462"/>
      <c r="I462"/>
      <c r="J462"/>
    </row>
    <row r="463" spans="3:10" x14ac:dyDescent="0.2">
      <c r="C463"/>
      <c r="H463"/>
      <c r="I463"/>
      <c r="J463"/>
    </row>
    <row r="464" spans="3:10" x14ac:dyDescent="0.2">
      <c r="C464"/>
      <c r="H464"/>
      <c r="I464"/>
      <c r="J464"/>
    </row>
    <row r="465" spans="3:10" x14ac:dyDescent="0.2">
      <c r="C465"/>
      <c r="H465"/>
      <c r="I465"/>
      <c r="J465"/>
    </row>
    <row r="466" spans="3:10" x14ac:dyDescent="0.2">
      <c r="C466"/>
      <c r="H466"/>
      <c r="I466"/>
      <c r="J466"/>
    </row>
    <row r="467" spans="3:10" x14ac:dyDescent="0.2">
      <c r="C467"/>
      <c r="H467"/>
      <c r="I467"/>
      <c r="J467"/>
    </row>
    <row r="468" spans="3:10" x14ac:dyDescent="0.2">
      <c r="C468"/>
      <c r="H468"/>
      <c r="I468"/>
      <c r="J468"/>
    </row>
    <row r="469" spans="3:10" x14ac:dyDescent="0.2">
      <c r="C469"/>
      <c r="H469"/>
      <c r="I469"/>
      <c r="J469"/>
    </row>
    <row r="470" spans="3:10" x14ac:dyDescent="0.2">
      <c r="C470"/>
      <c r="H470"/>
      <c r="I470"/>
      <c r="J470"/>
    </row>
    <row r="471" spans="3:10" x14ac:dyDescent="0.2">
      <c r="C471"/>
      <c r="H471"/>
      <c r="I471"/>
      <c r="J471"/>
    </row>
    <row r="472" spans="3:10" x14ac:dyDescent="0.2">
      <c r="C472"/>
      <c r="H472"/>
      <c r="I472"/>
      <c r="J472"/>
    </row>
    <row r="473" spans="3:10" x14ac:dyDescent="0.2">
      <c r="C473"/>
      <c r="H473"/>
      <c r="I473"/>
      <c r="J473"/>
    </row>
    <row r="474" spans="3:10" x14ac:dyDescent="0.2">
      <c r="C474"/>
      <c r="H474"/>
      <c r="I474"/>
      <c r="J474"/>
    </row>
    <row r="475" spans="3:10" x14ac:dyDescent="0.2">
      <c r="C475"/>
      <c r="H475"/>
      <c r="I475"/>
      <c r="J475"/>
    </row>
    <row r="476" spans="3:10" x14ac:dyDescent="0.2">
      <c r="C476"/>
      <c r="H476"/>
      <c r="I476"/>
      <c r="J476"/>
    </row>
    <row r="477" spans="3:10" x14ac:dyDescent="0.2">
      <c r="C477"/>
      <c r="H477"/>
      <c r="I477"/>
      <c r="J477"/>
    </row>
    <row r="478" spans="3:10" x14ac:dyDescent="0.2">
      <c r="C478"/>
      <c r="H478"/>
      <c r="I478"/>
      <c r="J478"/>
    </row>
    <row r="479" spans="3:10" x14ac:dyDescent="0.2">
      <c r="C479"/>
      <c r="H479"/>
      <c r="I479"/>
      <c r="J479"/>
    </row>
    <row r="480" spans="3:10" x14ac:dyDescent="0.2">
      <c r="C480"/>
      <c r="H480"/>
      <c r="I480"/>
      <c r="J480"/>
    </row>
    <row r="481" spans="3:10" x14ac:dyDescent="0.2">
      <c r="C481"/>
      <c r="H481"/>
      <c r="I481"/>
      <c r="J481"/>
    </row>
    <row r="482" spans="3:10" x14ac:dyDescent="0.2">
      <c r="C482"/>
      <c r="H482"/>
      <c r="I482"/>
      <c r="J482"/>
    </row>
    <row r="483" spans="3:10" x14ac:dyDescent="0.2">
      <c r="C483"/>
      <c r="H483"/>
      <c r="I483"/>
      <c r="J483"/>
    </row>
    <row r="484" spans="3:10" x14ac:dyDescent="0.2">
      <c r="C484"/>
      <c r="H484"/>
      <c r="I484"/>
      <c r="J484"/>
    </row>
    <row r="485" spans="3:10" x14ac:dyDescent="0.2">
      <c r="C485"/>
      <c r="H485"/>
      <c r="I485"/>
      <c r="J485"/>
    </row>
    <row r="486" spans="3:10" x14ac:dyDescent="0.2">
      <c r="C486"/>
      <c r="H486"/>
      <c r="I486"/>
      <c r="J486"/>
    </row>
    <row r="487" spans="3:10" x14ac:dyDescent="0.2">
      <c r="C487"/>
      <c r="H487"/>
      <c r="I487"/>
      <c r="J487"/>
    </row>
    <row r="488" spans="3:10" x14ac:dyDescent="0.2">
      <c r="C488"/>
      <c r="H488"/>
      <c r="I488"/>
      <c r="J488"/>
    </row>
    <row r="489" spans="3:10" x14ac:dyDescent="0.2">
      <c r="C489"/>
      <c r="H489"/>
      <c r="I489"/>
      <c r="J489"/>
    </row>
    <row r="490" spans="3:10" x14ac:dyDescent="0.2">
      <c r="C490"/>
      <c r="H490"/>
      <c r="I490"/>
      <c r="J490"/>
    </row>
    <row r="491" spans="3:10" x14ac:dyDescent="0.2">
      <c r="C491"/>
      <c r="H491"/>
      <c r="I491"/>
      <c r="J491"/>
    </row>
    <row r="492" spans="3:10" x14ac:dyDescent="0.2">
      <c r="C492"/>
      <c r="H492"/>
      <c r="I492"/>
      <c r="J492"/>
    </row>
    <row r="493" spans="3:10" x14ac:dyDescent="0.2">
      <c r="C493"/>
      <c r="H493"/>
      <c r="I493"/>
      <c r="J493"/>
    </row>
    <row r="494" spans="3:10" x14ac:dyDescent="0.2">
      <c r="C494"/>
      <c r="H494"/>
      <c r="I494"/>
      <c r="J494"/>
    </row>
    <row r="495" spans="3:10" x14ac:dyDescent="0.2">
      <c r="C495"/>
      <c r="H495"/>
      <c r="I495"/>
      <c r="J495"/>
    </row>
    <row r="496" spans="3:10" x14ac:dyDescent="0.2">
      <c r="C496"/>
      <c r="H496"/>
      <c r="I496"/>
      <c r="J496"/>
    </row>
    <row r="497" spans="3:10" x14ac:dyDescent="0.2">
      <c r="C497"/>
      <c r="H497"/>
      <c r="I497"/>
      <c r="J497"/>
    </row>
    <row r="498" spans="3:10" x14ac:dyDescent="0.2">
      <c r="C498"/>
      <c r="H498"/>
      <c r="I498"/>
      <c r="J498"/>
    </row>
    <row r="499" spans="3:10" x14ac:dyDescent="0.2">
      <c r="C499"/>
      <c r="H499"/>
      <c r="I499"/>
      <c r="J499"/>
    </row>
    <row r="500" spans="3:10" x14ac:dyDescent="0.2">
      <c r="C500"/>
      <c r="H500"/>
      <c r="I500"/>
      <c r="J500"/>
    </row>
    <row r="501" spans="3:10" x14ac:dyDescent="0.2">
      <c r="C501"/>
      <c r="H501"/>
      <c r="I501"/>
      <c r="J501"/>
    </row>
    <row r="502" spans="3:10" x14ac:dyDescent="0.2">
      <c r="C502"/>
      <c r="H502"/>
      <c r="I502"/>
      <c r="J502"/>
    </row>
    <row r="503" spans="3:10" x14ac:dyDescent="0.2">
      <c r="C503"/>
      <c r="H503"/>
      <c r="I503"/>
      <c r="J503"/>
    </row>
    <row r="504" spans="3:10" x14ac:dyDescent="0.2">
      <c r="C504"/>
      <c r="H504"/>
      <c r="I504"/>
      <c r="J504"/>
    </row>
    <row r="505" spans="3:10" x14ac:dyDescent="0.2">
      <c r="C505"/>
      <c r="H505"/>
      <c r="I505"/>
      <c r="J505"/>
    </row>
    <row r="506" spans="3:10" x14ac:dyDescent="0.2">
      <c r="C506"/>
      <c r="H506"/>
      <c r="I506"/>
      <c r="J506"/>
    </row>
    <row r="507" spans="3:10" x14ac:dyDescent="0.2">
      <c r="C507"/>
      <c r="H507"/>
      <c r="I507"/>
      <c r="J507"/>
    </row>
    <row r="508" spans="3:10" x14ac:dyDescent="0.2">
      <c r="C508"/>
      <c r="H508"/>
      <c r="I508"/>
      <c r="J508"/>
    </row>
    <row r="509" spans="3:10" x14ac:dyDescent="0.2">
      <c r="C509"/>
      <c r="H509"/>
      <c r="I509"/>
      <c r="J509"/>
    </row>
    <row r="510" spans="3:10" x14ac:dyDescent="0.2">
      <c r="C510"/>
      <c r="H510"/>
      <c r="I510"/>
      <c r="J510"/>
    </row>
    <row r="511" spans="3:10" x14ac:dyDescent="0.2">
      <c r="C511"/>
      <c r="H511"/>
      <c r="I511"/>
      <c r="J511"/>
    </row>
    <row r="512" spans="3:10" x14ac:dyDescent="0.2">
      <c r="C512"/>
      <c r="H512"/>
      <c r="I512"/>
      <c r="J512"/>
    </row>
    <row r="513" spans="3:10" x14ac:dyDescent="0.2">
      <c r="C513"/>
      <c r="H513"/>
      <c r="I513"/>
      <c r="J513"/>
    </row>
    <row r="514" spans="3:10" x14ac:dyDescent="0.2">
      <c r="C514"/>
      <c r="H514"/>
      <c r="I514"/>
      <c r="J514"/>
    </row>
    <row r="515" spans="3:10" x14ac:dyDescent="0.2">
      <c r="C515"/>
      <c r="H515"/>
      <c r="I515"/>
      <c r="J515"/>
    </row>
    <row r="516" spans="3:10" x14ac:dyDescent="0.2">
      <c r="C516"/>
      <c r="H516"/>
      <c r="I516"/>
      <c r="J516"/>
    </row>
    <row r="517" spans="3:10" x14ac:dyDescent="0.2">
      <c r="C517"/>
      <c r="H517"/>
      <c r="I517"/>
      <c r="J517"/>
    </row>
    <row r="518" spans="3:10" x14ac:dyDescent="0.2">
      <c r="C518"/>
      <c r="H518"/>
      <c r="I518"/>
      <c r="J518"/>
    </row>
    <row r="519" spans="3:10" x14ac:dyDescent="0.2">
      <c r="C519"/>
      <c r="H519"/>
      <c r="I519"/>
      <c r="J519"/>
    </row>
    <row r="520" spans="3:10" x14ac:dyDescent="0.2">
      <c r="C520"/>
      <c r="H520"/>
      <c r="I520"/>
      <c r="J520"/>
    </row>
    <row r="521" spans="3:10" x14ac:dyDescent="0.2">
      <c r="C521"/>
      <c r="H521"/>
      <c r="I521"/>
      <c r="J521"/>
    </row>
    <row r="522" spans="3:10" x14ac:dyDescent="0.2">
      <c r="C522"/>
      <c r="H522"/>
      <c r="I522"/>
      <c r="J522"/>
    </row>
    <row r="523" spans="3:10" x14ac:dyDescent="0.2">
      <c r="C523"/>
      <c r="H523"/>
      <c r="I523"/>
      <c r="J523"/>
    </row>
    <row r="524" spans="3:10" x14ac:dyDescent="0.2">
      <c r="C524"/>
      <c r="H524"/>
      <c r="I524"/>
      <c r="J524"/>
    </row>
    <row r="525" spans="3:10" x14ac:dyDescent="0.2">
      <c r="C525"/>
      <c r="H525"/>
      <c r="I525"/>
      <c r="J525"/>
    </row>
    <row r="526" spans="3:10" x14ac:dyDescent="0.2">
      <c r="C526"/>
      <c r="H526"/>
      <c r="I526"/>
      <c r="J526"/>
    </row>
    <row r="527" spans="3:10" x14ac:dyDescent="0.2">
      <c r="C527"/>
      <c r="H527"/>
      <c r="I527"/>
      <c r="J527"/>
    </row>
    <row r="528" spans="3:10" x14ac:dyDescent="0.2">
      <c r="C528"/>
      <c r="H528"/>
      <c r="I528"/>
      <c r="J528"/>
    </row>
    <row r="529" spans="3:10" x14ac:dyDescent="0.2">
      <c r="C529"/>
      <c r="H529"/>
      <c r="I529"/>
      <c r="J529"/>
    </row>
    <row r="530" spans="3:10" x14ac:dyDescent="0.2">
      <c r="C530"/>
      <c r="H530"/>
      <c r="I530"/>
      <c r="J530"/>
    </row>
    <row r="531" spans="3:10" x14ac:dyDescent="0.2">
      <c r="C531"/>
      <c r="H531"/>
      <c r="I531"/>
      <c r="J531"/>
    </row>
    <row r="532" spans="3:10" x14ac:dyDescent="0.2">
      <c r="C532"/>
      <c r="H532"/>
      <c r="I532"/>
      <c r="J532"/>
    </row>
    <row r="533" spans="3:10" x14ac:dyDescent="0.2">
      <c r="C533"/>
      <c r="H533"/>
      <c r="I533"/>
      <c r="J533"/>
    </row>
    <row r="534" spans="3:10" x14ac:dyDescent="0.2">
      <c r="C534"/>
    </row>
    <row r="535" spans="3:10" x14ac:dyDescent="0.2">
      <c r="C535"/>
    </row>
    <row r="536" spans="3:10" x14ac:dyDescent="0.2">
      <c r="C536"/>
    </row>
    <row r="537" spans="3:10" x14ac:dyDescent="0.2">
      <c r="C537"/>
    </row>
    <row r="538" spans="3:10" x14ac:dyDescent="0.2">
      <c r="C538"/>
    </row>
    <row r="539" spans="3:10" x14ac:dyDescent="0.2">
      <c r="C539"/>
    </row>
    <row r="540" spans="3:10" x14ac:dyDescent="0.2">
      <c r="C540"/>
    </row>
    <row r="541" spans="3:10" x14ac:dyDescent="0.2">
      <c r="C541"/>
    </row>
    <row r="542" spans="3:10" x14ac:dyDescent="0.2">
      <c r="C542"/>
    </row>
    <row r="543" spans="3:10" x14ac:dyDescent="0.2">
      <c r="C543"/>
    </row>
    <row r="544" spans="3:10" x14ac:dyDescent="0.2">
      <c r="C544"/>
    </row>
    <row r="545" spans="3:3" x14ac:dyDescent="0.2">
      <c r="C545"/>
    </row>
    <row r="546" spans="3:3" x14ac:dyDescent="0.2">
      <c r="C546"/>
    </row>
    <row r="547" spans="3:3" x14ac:dyDescent="0.2">
      <c r="C547"/>
    </row>
    <row r="548" spans="3:3" x14ac:dyDescent="0.2">
      <c r="C548"/>
    </row>
    <row r="549" spans="3:3" x14ac:dyDescent="0.2">
      <c r="C549"/>
    </row>
    <row r="550" spans="3:3" x14ac:dyDescent="0.2">
      <c r="C550"/>
    </row>
    <row r="551" spans="3:3" x14ac:dyDescent="0.2">
      <c r="C551"/>
    </row>
    <row r="552" spans="3:3" x14ac:dyDescent="0.2">
      <c r="C552"/>
    </row>
    <row r="553" spans="3:3" x14ac:dyDescent="0.2">
      <c r="C553"/>
    </row>
    <row r="554" spans="3:3" x14ac:dyDescent="0.2">
      <c r="C554"/>
    </row>
    <row r="555" spans="3:3" x14ac:dyDescent="0.2">
      <c r="C555"/>
    </row>
    <row r="556" spans="3:3" x14ac:dyDescent="0.2">
      <c r="C556"/>
    </row>
    <row r="557" spans="3:3" x14ac:dyDescent="0.2">
      <c r="C557"/>
    </row>
    <row r="558" spans="3:3" x14ac:dyDescent="0.2">
      <c r="C558"/>
    </row>
    <row r="559" spans="3:3" x14ac:dyDescent="0.2">
      <c r="C559"/>
    </row>
    <row r="560" spans="3:3" x14ac:dyDescent="0.2">
      <c r="C560"/>
    </row>
    <row r="561" spans="3:3" x14ac:dyDescent="0.2">
      <c r="C561"/>
    </row>
    <row r="562" spans="3:3" x14ac:dyDescent="0.2">
      <c r="C562"/>
    </row>
    <row r="563" spans="3:3" x14ac:dyDescent="0.2">
      <c r="C563"/>
    </row>
    <row r="564" spans="3:3" x14ac:dyDescent="0.2">
      <c r="C564"/>
    </row>
    <row r="565" spans="3:3" x14ac:dyDescent="0.2">
      <c r="C565"/>
    </row>
    <row r="566" spans="3:3" x14ac:dyDescent="0.2">
      <c r="C566"/>
    </row>
    <row r="567" spans="3:3" x14ac:dyDescent="0.2">
      <c r="C567"/>
    </row>
    <row r="568" spans="3:3" x14ac:dyDescent="0.2">
      <c r="C568"/>
    </row>
    <row r="569" spans="3:3" x14ac:dyDescent="0.2">
      <c r="C569"/>
    </row>
    <row r="570" spans="3:3" x14ac:dyDescent="0.2">
      <c r="C570"/>
    </row>
    <row r="571" spans="3:3" x14ac:dyDescent="0.2">
      <c r="C571"/>
    </row>
    <row r="572" spans="3:3" x14ac:dyDescent="0.2">
      <c r="C572"/>
    </row>
    <row r="573" spans="3:3" x14ac:dyDescent="0.2">
      <c r="C573"/>
    </row>
    <row r="574" spans="3:3" x14ac:dyDescent="0.2">
      <c r="C574"/>
    </row>
    <row r="575" spans="3:3" x14ac:dyDescent="0.2">
      <c r="C575"/>
    </row>
    <row r="576" spans="3:3" x14ac:dyDescent="0.2">
      <c r="C576"/>
    </row>
    <row r="577" spans="3:3" x14ac:dyDescent="0.2">
      <c r="C577"/>
    </row>
    <row r="578" spans="3:3" x14ac:dyDescent="0.2">
      <c r="C578"/>
    </row>
    <row r="579" spans="3:3" x14ac:dyDescent="0.2">
      <c r="C579"/>
    </row>
    <row r="580" spans="3:3" x14ac:dyDescent="0.2">
      <c r="C580"/>
    </row>
    <row r="581" spans="3:3" x14ac:dyDescent="0.2">
      <c r="C581"/>
    </row>
    <row r="582" spans="3:3" x14ac:dyDescent="0.2">
      <c r="C582"/>
    </row>
    <row r="583" spans="3:3" x14ac:dyDescent="0.2">
      <c r="C583"/>
    </row>
    <row r="584" spans="3:3" x14ac:dyDescent="0.2">
      <c r="C584"/>
    </row>
    <row r="585" spans="3:3" x14ac:dyDescent="0.2">
      <c r="C585"/>
    </row>
    <row r="586" spans="3:3" x14ac:dyDescent="0.2">
      <c r="C586"/>
    </row>
    <row r="587" spans="3:3" x14ac:dyDescent="0.2">
      <c r="C587"/>
    </row>
    <row r="588" spans="3:3" x14ac:dyDescent="0.2">
      <c r="C588"/>
    </row>
    <row r="589" spans="3:3" x14ac:dyDescent="0.2">
      <c r="C589"/>
    </row>
    <row r="590" spans="3:3" x14ac:dyDescent="0.2">
      <c r="C590"/>
    </row>
    <row r="591" spans="3:3" x14ac:dyDescent="0.2">
      <c r="C591"/>
    </row>
    <row r="592" spans="3:3" x14ac:dyDescent="0.2">
      <c r="C592"/>
    </row>
    <row r="593" spans="3:3" x14ac:dyDescent="0.2">
      <c r="C593"/>
    </row>
    <row r="594" spans="3:3" x14ac:dyDescent="0.2">
      <c r="C594"/>
    </row>
    <row r="595" spans="3:3" x14ac:dyDescent="0.2">
      <c r="C595"/>
    </row>
    <row r="596" spans="3:3" x14ac:dyDescent="0.2">
      <c r="C596"/>
    </row>
    <row r="597" spans="3:3" x14ac:dyDescent="0.2">
      <c r="C597"/>
    </row>
    <row r="598" spans="3:3" x14ac:dyDescent="0.2">
      <c r="C598"/>
    </row>
    <row r="599" spans="3:3" x14ac:dyDescent="0.2">
      <c r="C599"/>
    </row>
    <row r="600" spans="3:3" x14ac:dyDescent="0.2">
      <c r="C600"/>
    </row>
    <row r="601" spans="3:3" x14ac:dyDescent="0.2">
      <c r="C601"/>
    </row>
    <row r="602" spans="3:3" x14ac:dyDescent="0.2">
      <c r="C602"/>
    </row>
    <row r="603" spans="3:3" x14ac:dyDescent="0.2">
      <c r="C603"/>
    </row>
    <row r="604" spans="3:3" x14ac:dyDescent="0.2">
      <c r="C604"/>
    </row>
    <row r="605" spans="3:3" x14ac:dyDescent="0.2">
      <c r="C605"/>
    </row>
    <row r="606" spans="3:3" x14ac:dyDescent="0.2">
      <c r="C606"/>
    </row>
    <row r="607" spans="3:3" x14ac:dyDescent="0.2">
      <c r="C607"/>
    </row>
    <row r="608" spans="3:3" x14ac:dyDescent="0.2">
      <c r="C608"/>
    </row>
    <row r="609" spans="3:3" x14ac:dyDescent="0.2">
      <c r="C609"/>
    </row>
    <row r="610" spans="3:3" x14ac:dyDescent="0.2">
      <c r="C610"/>
    </row>
    <row r="611" spans="3:3" x14ac:dyDescent="0.2">
      <c r="C611"/>
    </row>
    <row r="612" spans="3:3" x14ac:dyDescent="0.2">
      <c r="C612"/>
    </row>
  </sheetData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RPI Output</vt:lpstr>
      <vt:lpstr>Raw Data</vt:lpstr>
      <vt:lpstr>Prep</vt:lpstr>
      <vt:lpstr>WP</vt:lpstr>
      <vt:lpstr>OWP</vt:lpstr>
      <vt:lpstr>OOWP</vt:lpstr>
    </vt:vector>
  </TitlesOfParts>
  <Company>ITT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Woodrum</dc:creator>
  <cp:lastModifiedBy>Microsoft Office User</cp:lastModifiedBy>
  <dcterms:created xsi:type="dcterms:W3CDTF">2014-08-28T15:34:27Z</dcterms:created>
  <dcterms:modified xsi:type="dcterms:W3CDTF">2017-01-02T18:07:59Z</dcterms:modified>
</cp:coreProperties>
</file>